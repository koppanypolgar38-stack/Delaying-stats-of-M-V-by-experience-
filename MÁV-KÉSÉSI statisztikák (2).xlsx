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tc={e0386383-3b76-44f5-8eaa-7f0cf631ac94}</author>
  </authors>
  <commentList>
    <comment authorId="0" ref="S9">
      <text>
        <t xml:space="preserve">5 percen belüli késés</t>
      </text>
    </comment>
    <comment authorId="1" xr:uid="{e0386383-3b76-44f5-8eaa-7f0cf631ac94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2026-tól a Máv-Inform-ból kell tájékozódni, és minden hibát beírni (nem csak, ami eljut)
</t>
      </text>
    </comment>
  </commentList>
</comments>
</file>

<file path=xl/sharedStrings.xml><?xml version="1.0" encoding="utf-8"?>
<sst xmlns="http://schemas.openxmlformats.org/spreadsheetml/2006/main" count="313" uniqueCount="102">
  <si>
    <t>Rendkívüli esemény típusa</t>
  </si>
  <si>
    <t>Utazás dátuma</t>
  </si>
  <si>
    <t xml:space="preserve">Induló állomás </t>
  </si>
  <si>
    <t xml:space="preserve">Célállomás </t>
  </si>
  <si>
    <t>Járat</t>
  </si>
  <si>
    <t>Késés (perc)</t>
  </si>
  <si>
    <t>késés (perc/km)</t>
  </si>
  <si>
    <t>Hőmérséklet (C⁰)</t>
  </si>
  <si>
    <t>Csapadék (mm)</t>
  </si>
  <si>
    <t>Szél (km/H)</t>
  </si>
  <si>
    <t>Becsült utasszám (fő)</t>
  </si>
  <si>
    <t xml:space="preserve">egyéb Műszaki hiba </t>
  </si>
  <si>
    <t xml:space="preserve">Áramellátás </t>
  </si>
  <si>
    <t xml:space="preserve">klíma </t>
  </si>
  <si>
    <t xml:space="preserve">Biztosítóberendezés </t>
  </si>
  <si>
    <t xml:space="preserve">Felsővezeték </t>
  </si>
  <si>
    <t xml:space="preserve">Baleset </t>
  </si>
  <si>
    <t xml:space="preserve">Egyéb </t>
  </si>
  <si>
    <t>Hibaszám</t>
  </si>
  <si>
    <t>Perc</t>
  </si>
  <si>
    <t>%</t>
  </si>
  <si>
    <t xml:space="preserve">Másodperc </t>
  </si>
  <si>
    <t>r</t>
  </si>
  <si>
    <t>db</t>
  </si>
  <si>
    <t>2025.01.03. 05:52</t>
  </si>
  <si>
    <t xml:space="preserve">Szombathely </t>
  </si>
  <si>
    <t xml:space="preserve">Budapest- Kelenföld </t>
  </si>
  <si>
    <t>929 SAVARIA IC</t>
  </si>
  <si>
    <t>Átlag késés/utazás</t>
  </si>
  <si>
    <t>2025.01.03. 12:18</t>
  </si>
  <si>
    <t>934 SAVARIA IC</t>
  </si>
  <si>
    <t xml:space="preserve">Szórás </t>
  </si>
  <si>
    <t>2025.01.14. 13:10</t>
  </si>
  <si>
    <t>925 SAVARIA IC</t>
  </si>
  <si>
    <t>Összkésés</t>
  </si>
  <si>
    <t>250 DRÁVA IC</t>
  </si>
  <si>
    <t>Legnagyobb késés</t>
  </si>
  <si>
    <t>Budapest-Kelenföld</t>
  </si>
  <si>
    <t xml:space="preserve">925 SAVARIA IC </t>
  </si>
  <si>
    <t>Utazások száma</t>
  </si>
  <si>
    <t xml:space="preserve">Budapest-Kelenföld </t>
  </si>
  <si>
    <t>340 LEHÁR, 9228</t>
  </si>
  <si>
    <t>20 percen túli késések száma</t>
  </si>
  <si>
    <t xml:space="preserve">923 SAVARIA IC </t>
  </si>
  <si>
    <t>Pontos utazások száma</t>
  </si>
  <si>
    <t xml:space="preserve">Budapest Kelenföld </t>
  </si>
  <si>
    <t xml:space="preserve">934 SAVARIA IC </t>
  </si>
  <si>
    <t>Kilométerenkénti átlag késés</t>
  </si>
  <si>
    <t>255 MURA IC</t>
  </si>
  <si>
    <t>Kilométerenkénti késések szórása</t>
  </si>
  <si>
    <t>Kilométerenkénti legnagyobb késés</t>
  </si>
  <si>
    <t>Késések mediánja</t>
  </si>
  <si>
    <t xml:space="preserve">926 SAVARIA IC </t>
  </si>
  <si>
    <t>Korreláció a hőmérséklettel</t>
  </si>
  <si>
    <t>19203 RÁBA</t>
  </si>
  <si>
    <t>Hibák száma</t>
  </si>
  <si>
    <t>Műszaki hiba</t>
  </si>
  <si>
    <t>áramellátási hiba</t>
  </si>
  <si>
    <t>klíma hiba</t>
  </si>
  <si>
    <t>921 SAVARIA IC</t>
  </si>
  <si>
    <t xml:space="preserve">biztosítóberendezési hiba </t>
  </si>
  <si>
    <t xml:space="preserve">felsővezeték </t>
  </si>
  <si>
    <t xml:space="preserve">egyéb rendkívüli esemény </t>
  </si>
  <si>
    <t>késések és hibák korrelációja</t>
  </si>
  <si>
    <t>kilométerenkénti késés, és a hőmérséklet korrelációja</t>
  </si>
  <si>
    <t xml:space="preserve">255 MURA IC </t>
  </si>
  <si>
    <t>kilométerenkénti késés, és a hibák korrelációja</t>
  </si>
  <si>
    <t xml:space="preserve">Hibaszám/utazás </t>
  </si>
  <si>
    <t xml:space="preserve">250 DRÁVA IC </t>
  </si>
  <si>
    <t xml:space="preserve">921 SAVARIA IC </t>
  </si>
  <si>
    <t xml:space="preserve">929 SAVARIA IC </t>
  </si>
  <si>
    <t>Budapest-Keleti</t>
  </si>
  <si>
    <t xml:space="preserve">Csopak </t>
  </si>
  <si>
    <t>19736 KATICA InterRégió</t>
  </si>
  <si>
    <t>19746 KATICA, 19796 KÉK HULLÁM, 9608 HELIKON, 9228</t>
  </si>
  <si>
    <t>926 SAVARIA IC</t>
  </si>
  <si>
    <t>937 SAVARIA IC</t>
  </si>
  <si>
    <t>936 SAVARIA IC</t>
  </si>
  <si>
    <t>251 DRÁVA IC</t>
  </si>
  <si>
    <t>938 SAVARIA IC</t>
  </si>
  <si>
    <t xml:space="preserve">927 SAVARIA IC </t>
  </si>
  <si>
    <t xml:space="preserve">937 SAVARIA IC </t>
  </si>
  <si>
    <t>2025.10.01. 16:29</t>
  </si>
  <si>
    <t xml:space="preserve">Budapest-Keleti </t>
  </si>
  <si>
    <t>2025.10.05. 19:10</t>
  </si>
  <si>
    <t>2025.10.10. 12:29</t>
  </si>
  <si>
    <t xml:space="preserve">251 DRÁVA IC </t>
  </si>
  <si>
    <t xml:space="preserve">924 SAVARIA IC </t>
  </si>
  <si>
    <t xml:space="preserve">928 SAVARIA IC </t>
  </si>
  <si>
    <t xml:space="preserve">935 SAVARIA IC </t>
  </si>
  <si>
    <t xml:space="preserve">351 DRÁVA IC </t>
  </si>
  <si>
    <t>350 DRÁVA IC</t>
  </si>
  <si>
    <t>935 SAVARIA IC</t>
  </si>
  <si>
    <t>0.3</t>
  </si>
  <si>
    <t xml:space="preserve">Szombathelyi </t>
  </si>
  <si>
    <t>355 MURA IC</t>
  </si>
  <si>
    <t>355 SAVARI IC</t>
  </si>
  <si>
    <t xml:space="preserve">Keszthely </t>
  </si>
  <si>
    <t xml:space="preserve">862 Balaton gyorsvonat </t>
  </si>
  <si>
    <t xml:space="preserve">Tapolca </t>
  </si>
  <si>
    <t xml:space="preserve">8804 Fenyves Sebesvonat </t>
  </si>
  <si>
    <t xml:space="preserve">9694 Helikon InterRégió, 9036 személyvonat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</si>
</sst>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m.dd. h:mm"/>
    <numFmt numFmtId="165" formatCode="yyyy.mm.dd h:mm"/>
    <numFmt numFmtId="166" formatCode="yyyy.m.d. h:mm"/>
  </numFmts>
  <fonts count="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Font="1"/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166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3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Hisztogram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Sheet1!$E$3:$E$88</c:f>
              <c:numCache/>
            </c:numRef>
          </c:val>
          <c:smooth val="1"/>
        </c:ser>
        <c:axId val="57617583"/>
        <c:axId val="850209562"/>
      </c:lineChart>
      <c:catAx>
        <c:axId val="57617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209562"/>
      </c:catAx>
      <c:valAx>
        <c:axId val="850209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17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Sheet1!$S$16:$S$22</c:f>
            </c:strRef>
          </c:cat>
          <c:val>
            <c:numRef>
              <c:f>Sheet1!$U$16:$U$22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38100</xdr:colOff>
      <xdr:row>27</xdr:row>
      <xdr:rowOff>76200</xdr:rowOff>
    </xdr:from>
    <xdr:ext cx="6048375" cy="3533775"/>
    <xdr:graphicFrame>
      <xdr:nvGraphicFramePr>
        <xdr:cNvPr id="1" name="Chart 1" title="Hiszto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28575</xdr:colOff>
      <xdr:row>44</xdr:row>
      <xdr:rowOff>190500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Koppány Polgár" id="{ffa0b17c-1a28-45c0-902c-fa25e00fc99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" dT="2026-01-06T13:58:54.00" personId="{ffa0b17c-1a28-45c0-902c-fa25e00fc992}" id="{e0386383-3b76-44f5-8eaa-7f0cf631ac94}" done="0">
    <x18tc:text xml:space="preserve">2026-tól a Máv-Inform-ból kell tájékozódni, és minden hibát beírni (nem csak, ami eljut)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4.88"/>
    <col customWidth="1" min="3" max="3" width="19.38"/>
    <col customWidth="1" min="4" max="4" width="56.25"/>
    <col customWidth="1" min="5" max="5" width="8.13"/>
    <col customWidth="1" min="6" max="9" width="14.38"/>
    <col customWidth="1" min="10" max="10" width="19.25"/>
    <col customWidth="1" min="11" max="11" width="16.63"/>
    <col customWidth="1" min="12" max="13" width="14.38"/>
    <col customWidth="1" min="14" max="14" width="16.63"/>
    <col customWidth="1" min="15" max="18" width="14.38"/>
    <col customWidth="1" min="19" max="19" width="41.38"/>
    <col customWidth="1" min="20" max="20" width="14.38"/>
    <col customWidth="1" min="21" max="21" width="10.5"/>
    <col customWidth="1" min="22" max="33" width="14.38"/>
  </cols>
  <sheetData>
    <row r="1" ht="15.7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4" t="s">
        <v>0</v>
      </c>
      <c r="R1" s="4"/>
      <c r="T1" s="5"/>
      <c r="U1" s="5"/>
      <c r="V1" s="5"/>
      <c r="W1" s="5"/>
    </row>
    <row r="2" ht="15.7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</row>
    <row r="3" ht="15.75" customHeight="1">
      <c r="A3" s="1" t="s">
        <v>24</v>
      </c>
      <c r="B3" s="2" t="s">
        <v>25</v>
      </c>
      <c r="C3" s="2" t="s">
        <v>26</v>
      </c>
      <c r="D3" s="2" t="s">
        <v>27</v>
      </c>
      <c r="E3" s="6">
        <v>10.0</v>
      </c>
      <c r="F3" s="6">
        <f t="shared" ref="F3:F7" si="1">E3/230</f>
        <v>0.04347826087</v>
      </c>
      <c r="G3" s="7">
        <v>1.0</v>
      </c>
      <c r="H3" s="7"/>
      <c r="I3" s="7"/>
      <c r="J3" s="7"/>
      <c r="K3" s="3">
        <v>1.0</v>
      </c>
      <c r="L3" s="2"/>
      <c r="M3" s="2"/>
      <c r="R3" s="8">
        <f t="shared" ref="R3:R87" si="2">K3+M3+N3+O3+P3+Q3</f>
        <v>1</v>
      </c>
      <c r="S3" s="5" t="s">
        <v>28</v>
      </c>
      <c r="T3" s="8">
        <f>AVERAGE(E3:E80)</f>
        <v>15.37179487</v>
      </c>
    </row>
    <row r="4" ht="15.75" customHeight="1">
      <c r="A4" s="1" t="s">
        <v>29</v>
      </c>
      <c r="B4" s="2" t="s">
        <v>26</v>
      </c>
      <c r="C4" s="2" t="s">
        <v>25</v>
      </c>
      <c r="D4" s="2" t="s">
        <v>30</v>
      </c>
      <c r="E4" s="6">
        <v>17.0</v>
      </c>
      <c r="F4" s="6">
        <f t="shared" si="1"/>
        <v>0.07391304348</v>
      </c>
      <c r="G4" s="7">
        <v>1.0</v>
      </c>
      <c r="H4" s="7"/>
      <c r="I4" s="7"/>
      <c r="J4" s="7"/>
      <c r="K4" s="2"/>
      <c r="L4" s="2"/>
      <c r="M4" s="2"/>
      <c r="R4" s="8">
        <f t="shared" si="2"/>
        <v>0</v>
      </c>
      <c r="S4" s="5" t="s">
        <v>31</v>
      </c>
      <c r="T4" s="8">
        <f>(VAR(E3:E80))^(1/2)</f>
        <v>12.79316881</v>
      </c>
    </row>
    <row r="5" ht="15.75" customHeight="1">
      <c r="A5" s="1" t="s">
        <v>32</v>
      </c>
      <c r="B5" s="2" t="s">
        <v>25</v>
      </c>
      <c r="C5" s="2" t="s">
        <v>26</v>
      </c>
      <c r="D5" s="2" t="s">
        <v>33</v>
      </c>
      <c r="E5" s="6">
        <v>20.0</v>
      </c>
      <c r="F5" s="6">
        <f t="shared" si="1"/>
        <v>0.08695652174</v>
      </c>
      <c r="G5" s="7">
        <v>-2.0</v>
      </c>
      <c r="H5" s="7"/>
      <c r="I5" s="7"/>
      <c r="J5" s="7"/>
      <c r="K5" s="2"/>
      <c r="L5" s="2"/>
      <c r="M5" s="2"/>
      <c r="R5" s="8">
        <f t="shared" si="2"/>
        <v>0</v>
      </c>
      <c r="S5" s="5" t="s">
        <v>34</v>
      </c>
      <c r="T5" s="8">
        <f>SUM(E3:E80)</f>
        <v>1199</v>
      </c>
    </row>
    <row r="6" ht="15.75" customHeight="1">
      <c r="A6" s="9">
        <v>45673.68680555555</v>
      </c>
      <c r="B6" s="2" t="s">
        <v>26</v>
      </c>
      <c r="C6" s="2" t="s">
        <v>25</v>
      </c>
      <c r="D6" s="2" t="s">
        <v>35</v>
      </c>
      <c r="E6" s="6">
        <v>39.0</v>
      </c>
      <c r="F6" s="6">
        <f t="shared" si="1"/>
        <v>0.1695652174</v>
      </c>
      <c r="G6" s="7">
        <v>-1.0</v>
      </c>
      <c r="H6" s="7"/>
      <c r="I6" s="7"/>
      <c r="J6" s="7"/>
      <c r="K6" s="2"/>
      <c r="L6" s="2"/>
      <c r="M6" s="2"/>
      <c r="R6" s="8">
        <f t="shared" si="2"/>
        <v>0</v>
      </c>
      <c r="S6" s="5" t="s">
        <v>36</v>
      </c>
      <c r="T6" s="8">
        <f>MAX(E3:E80)</f>
        <v>61</v>
      </c>
    </row>
    <row r="7" ht="15.75" customHeight="1">
      <c r="A7" s="9">
        <v>45691.54861111111</v>
      </c>
      <c r="B7" s="2" t="s">
        <v>25</v>
      </c>
      <c r="C7" s="2" t="s">
        <v>37</v>
      </c>
      <c r="D7" s="2" t="s">
        <v>38</v>
      </c>
      <c r="E7" s="6">
        <v>6.0</v>
      </c>
      <c r="F7" s="6">
        <f t="shared" si="1"/>
        <v>0.02608695652</v>
      </c>
      <c r="G7" s="7">
        <v>1.0</v>
      </c>
      <c r="H7" s="7"/>
      <c r="I7" s="7"/>
      <c r="J7" s="7"/>
      <c r="K7" s="2"/>
      <c r="L7" s="2"/>
      <c r="M7" s="2"/>
      <c r="R7" s="8">
        <f t="shared" si="2"/>
        <v>0</v>
      </c>
      <c r="S7" s="5" t="s">
        <v>39</v>
      </c>
      <c r="X7" s="8">
        <f>COUNT(E3:E80)</f>
        <v>78</v>
      </c>
    </row>
    <row r="8" ht="15.75" customHeight="1">
      <c r="A8" s="9">
        <v>45691.788194444445</v>
      </c>
      <c r="B8" s="2" t="s">
        <v>40</v>
      </c>
      <c r="C8" s="2" t="s">
        <v>25</v>
      </c>
      <c r="D8" s="2" t="s">
        <v>41</v>
      </c>
      <c r="E8" s="6">
        <v>4.0</v>
      </c>
      <c r="F8" s="6">
        <f>4/244</f>
        <v>0.01639344262</v>
      </c>
      <c r="G8" s="7">
        <v>1.0</v>
      </c>
      <c r="H8" s="7"/>
      <c r="I8" s="7"/>
      <c r="J8" s="7"/>
      <c r="K8" s="2"/>
      <c r="L8" s="2"/>
      <c r="M8" s="3">
        <v>1.0</v>
      </c>
      <c r="R8" s="8">
        <f t="shared" si="2"/>
        <v>1</v>
      </c>
      <c r="S8" s="5" t="s">
        <v>42</v>
      </c>
      <c r="U8" s="8">
        <f>(X8/X7)*100</f>
        <v>28.20512821</v>
      </c>
      <c r="X8" s="5">
        <v>22.0</v>
      </c>
    </row>
    <row r="9" ht="15.75" customHeight="1">
      <c r="A9" s="9">
        <v>45697.631944444445</v>
      </c>
      <c r="B9" s="2" t="s">
        <v>25</v>
      </c>
      <c r="C9" s="2" t="s">
        <v>40</v>
      </c>
      <c r="D9" s="2" t="s">
        <v>43</v>
      </c>
      <c r="E9" s="6">
        <v>12.0</v>
      </c>
      <c r="F9" s="6">
        <f t="shared" ref="F9:F14" si="3">E9/230</f>
        <v>0.05217391304</v>
      </c>
      <c r="G9" s="7">
        <v>1.0</v>
      </c>
      <c r="H9" s="7"/>
      <c r="I9" s="7"/>
      <c r="J9" s="7"/>
      <c r="K9" s="2"/>
      <c r="L9" s="2"/>
      <c r="M9" s="2"/>
      <c r="R9" s="8">
        <f t="shared" si="2"/>
        <v>0</v>
      </c>
      <c r="S9" s="5" t="s">
        <v>44</v>
      </c>
      <c r="U9" s="8">
        <f>(X9/X7)*100</f>
        <v>19.23076923</v>
      </c>
      <c r="X9" s="5">
        <v>15.0</v>
      </c>
    </row>
    <row r="10" ht="15.75" customHeight="1">
      <c r="A10" s="9">
        <v>45702.52013888889</v>
      </c>
      <c r="B10" s="2" t="s">
        <v>45</v>
      </c>
      <c r="C10" s="2" t="s">
        <v>25</v>
      </c>
      <c r="D10" s="2" t="s">
        <v>46</v>
      </c>
      <c r="E10" s="6">
        <v>23.0</v>
      </c>
      <c r="F10" s="6">
        <f t="shared" si="3"/>
        <v>0.1</v>
      </c>
      <c r="G10" s="7">
        <v>2.0</v>
      </c>
      <c r="H10" s="7"/>
      <c r="I10" s="7"/>
      <c r="J10" s="7"/>
      <c r="K10" s="2"/>
      <c r="L10" s="2"/>
      <c r="M10" s="2"/>
      <c r="R10" s="8">
        <f t="shared" si="2"/>
        <v>0</v>
      </c>
      <c r="S10" s="5" t="s">
        <v>47</v>
      </c>
      <c r="T10" s="8">
        <f>AVERAGE(F3:F80)</f>
        <v>0.06695146498</v>
      </c>
      <c r="V10" s="8">
        <f t="shared" ref="V10:V11" si="4">60*T10</f>
        <v>4.017087899</v>
      </c>
    </row>
    <row r="11" ht="15.75" customHeight="1">
      <c r="A11" s="9">
        <v>45704.71527777778</v>
      </c>
      <c r="B11" s="2" t="s">
        <v>25</v>
      </c>
      <c r="C11" s="2" t="s">
        <v>40</v>
      </c>
      <c r="D11" s="2" t="s">
        <v>48</v>
      </c>
      <c r="E11" s="6">
        <v>21.0</v>
      </c>
      <c r="F11" s="6">
        <f t="shared" si="3"/>
        <v>0.09130434783</v>
      </c>
      <c r="G11" s="7">
        <v>-2.0</v>
      </c>
      <c r="H11" s="7"/>
      <c r="I11" s="7"/>
      <c r="J11" s="7"/>
      <c r="K11" s="2"/>
      <c r="L11" s="2"/>
      <c r="M11" s="2"/>
      <c r="R11" s="8">
        <f t="shared" si="2"/>
        <v>0</v>
      </c>
      <c r="S11" s="5" t="s">
        <v>49</v>
      </c>
      <c r="T11" s="8">
        <f>VAR(F3:F80)*(1/2)</f>
        <v>0.001509829538</v>
      </c>
      <c r="V11" s="8">
        <f t="shared" si="4"/>
        <v>0.09058977227</v>
      </c>
    </row>
    <row r="12" ht="15.75" customHeight="1">
      <c r="A12" s="9">
        <v>45709.52013888889</v>
      </c>
      <c r="B12" s="2" t="s">
        <v>45</v>
      </c>
      <c r="C12" s="2" t="s">
        <v>25</v>
      </c>
      <c r="D12" s="2" t="s">
        <v>46</v>
      </c>
      <c r="E12" s="6">
        <v>33.0</v>
      </c>
      <c r="F12" s="6">
        <f t="shared" si="3"/>
        <v>0.1434782609</v>
      </c>
      <c r="G12" s="7">
        <v>-2.0</v>
      </c>
      <c r="H12" s="7"/>
      <c r="I12" s="7"/>
      <c r="J12" s="7"/>
      <c r="K12" s="2"/>
      <c r="L12" s="2"/>
      <c r="M12" s="2"/>
      <c r="R12" s="8">
        <f t="shared" si="2"/>
        <v>0</v>
      </c>
      <c r="S12" s="5" t="s">
        <v>50</v>
      </c>
      <c r="T12" s="8">
        <f>MAX(F3:F80)</f>
        <v>0.2652173913</v>
      </c>
      <c r="V12" s="8">
        <f>T12*60</f>
        <v>15.91304348</v>
      </c>
    </row>
    <row r="13" ht="15.75" customHeight="1">
      <c r="A13" s="9">
        <v>45711.631944444445</v>
      </c>
      <c r="B13" s="2" t="s">
        <v>25</v>
      </c>
      <c r="C13" s="2" t="s">
        <v>40</v>
      </c>
      <c r="D13" s="2" t="s">
        <v>43</v>
      </c>
      <c r="E13" s="6">
        <v>12.0</v>
      </c>
      <c r="F13" s="6">
        <f t="shared" si="3"/>
        <v>0.05217391304</v>
      </c>
      <c r="G13" s="7">
        <v>1.0</v>
      </c>
      <c r="H13" s="7"/>
      <c r="I13" s="7"/>
      <c r="J13" s="7"/>
      <c r="K13" s="2"/>
      <c r="L13" s="2"/>
      <c r="M13" s="2"/>
      <c r="R13" s="8">
        <f t="shared" si="2"/>
        <v>0</v>
      </c>
      <c r="S13" s="5" t="s">
        <v>51</v>
      </c>
      <c r="T13" s="8">
        <f>MEDIAN(E3:E80)</f>
        <v>13</v>
      </c>
    </row>
    <row r="14" ht="15.75" customHeight="1">
      <c r="A14" s="9">
        <v>45716.52013888889</v>
      </c>
      <c r="B14" s="2" t="s">
        <v>40</v>
      </c>
      <c r="C14" s="2" t="s">
        <v>25</v>
      </c>
      <c r="D14" s="2" t="s">
        <v>52</v>
      </c>
      <c r="E14" s="6">
        <v>15.0</v>
      </c>
      <c r="F14" s="6">
        <f t="shared" si="3"/>
        <v>0.0652173913</v>
      </c>
      <c r="G14" s="7">
        <v>6.0</v>
      </c>
      <c r="H14" s="7"/>
      <c r="I14" s="7"/>
      <c r="J14" s="7"/>
      <c r="K14" s="2"/>
      <c r="L14" s="2"/>
      <c r="M14" s="2"/>
      <c r="R14" s="8">
        <f t="shared" si="2"/>
        <v>0</v>
      </c>
      <c r="S14" s="5" t="s">
        <v>53</v>
      </c>
      <c r="W14" s="8">
        <f>CORREL(E3:E80,G3:G80)</f>
        <v>-0.2529821634</v>
      </c>
    </row>
    <row r="15" ht="15.75" customHeight="1">
      <c r="A15" s="9">
        <v>45718.62777777778</v>
      </c>
      <c r="B15" s="2" t="s">
        <v>25</v>
      </c>
      <c r="C15" s="2" t="s">
        <v>40</v>
      </c>
      <c r="D15" s="2" t="s">
        <v>54</v>
      </c>
      <c r="E15" s="6">
        <v>39.0</v>
      </c>
      <c r="F15" s="6">
        <f>E15/244</f>
        <v>0.1598360656</v>
      </c>
      <c r="G15" s="7">
        <v>3.0</v>
      </c>
      <c r="H15" s="7"/>
      <c r="I15" s="7"/>
      <c r="J15" s="7"/>
      <c r="K15" s="2"/>
      <c r="L15" s="3">
        <v>1.0</v>
      </c>
      <c r="M15" s="2"/>
      <c r="R15" s="8">
        <f t="shared" si="2"/>
        <v>0</v>
      </c>
      <c r="S15" s="5" t="s">
        <v>55</v>
      </c>
      <c r="U15" s="8">
        <f>X15/X15*100</f>
        <v>100</v>
      </c>
      <c r="X15" s="8">
        <f>SUM(R3:R80)</f>
        <v>12</v>
      </c>
    </row>
    <row r="16" ht="15.75" customHeight="1">
      <c r="A16" s="9">
        <v>45723.52013888889</v>
      </c>
      <c r="B16" s="2" t="s">
        <v>40</v>
      </c>
      <c r="C16" s="2" t="s">
        <v>25</v>
      </c>
      <c r="D16" s="2" t="s">
        <v>46</v>
      </c>
      <c r="E16" s="6">
        <v>27.0</v>
      </c>
      <c r="F16" s="6">
        <f t="shared" ref="F16:F28" si="5">E16/230</f>
        <v>0.1173913043</v>
      </c>
      <c r="G16" s="7">
        <v>8.0</v>
      </c>
      <c r="H16" s="7"/>
      <c r="I16" s="7"/>
      <c r="J16" s="7"/>
      <c r="K16" s="2"/>
      <c r="L16" s="2"/>
      <c r="M16" s="2"/>
      <c r="R16" s="8">
        <f t="shared" si="2"/>
        <v>0</v>
      </c>
      <c r="S16" s="5" t="s">
        <v>56</v>
      </c>
      <c r="U16" s="8">
        <f>X16/X15*100</f>
        <v>33.33333333</v>
      </c>
      <c r="X16" s="8">
        <f>SUM(K3:K80)</f>
        <v>4</v>
      </c>
    </row>
    <row r="17" ht="15.75" customHeight="1">
      <c r="A17" s="9">
        <v>45726.631944444445</v>
      </c>
      <c r="B17" s="2" t="s">
        <v>25</v>
      </c>
      <c r="C17" s="2" t="s">
        <v>40</v>
      </c>
      <c r="D17" s="2" t="s">
        <v>43</v>
      </c>
      <c r="E17" s="6">
        <v>13.0</v>
      </c>
      <c r="F17" s="6">
        <f t="shared" si="5"/>
        <v>0.05652173913</v>
      </c>
      <c r="G17" s="7">
        <v>12.0</v>
      </c>
      <c r="H17" s="7"/>
      <c r="I17" s="7"/>
      <c r="J17" s="7"/>
      <c r="K17" s="2"/>
      <c r="L17" s="2"/>
      <c r="M17" s="2"/>
      <c r="R17" s="8">
        <f t="shared" si="2"/>
        <v>0</v>
      </c>
      <c r="S17" s="5" t="s">
        <v>57</v>
      </c>
      <c r="U17" s="8">
        <f>X17/X15*100</f>
        <v>16.66666667</v>
      </c>
      <c r="X17" s="8">
        <f>SUM(L3:L80)</f>
        <v>2</v>
      </c>
    </row>
    <row r="18" ht="15.75" customHeight="1">
      <c r="A18" s="9">
        <v>45730.52013888889</v>
      </c>
      <c r="B18" s="2" t="s">
        <v>40</v>
      </c>
      <c r="C18" s="2" t="s">
        <v>25</v>
      </c>
      <c r="D18" s="2" t="s">
        <v>46</v>
      </c>
      <c r="E18" s="6">
        <v>13.0</v>
      </c>
      <c r="F18" s="6">
        <f t="shared" si="5"/>
        <v>0.05652173913</v>
      </c>
      <c r="G18" s="7">
        <v>12.0</v>
      </c>
      <c r="H18" s="7"/>
      <c r="I18" s="7"/>
      <c r="J18" s="7"/>
      <c r="K18" s="2"/>
      <c r="L18" s="2"/>
      <c r="M18" s="2"/>
      <c r="N18" s="5">
        <v>1.0</v>
      </c>
      <c r="R18" s="8">
        <f t="shared" si="2"/>
        <v>1</v>
      </c>
      <c r="S18" s="5" t="s">
        <v>58</v>
      </c>
      <c r="U18" s="8">
        <f>X18/X15*100</f>
        <v>25</v>
      </c>
      <c r="X18" s="8">
        <f>SUM(M3:M80)</f>
        <v>3</v>
      </c>
    </row>
    <row r="19" ht="15.75" customHeight="1">
      <c r="A19" s="9">
        <v>45732.79861111111</v>
      </c>
      <c r="B19" s="2" t="s">
        <v>25</v>
      </c>
      <c r="C19" s="2" t="s">
        <v>40</v>
      </c>
      <c r="D19" s="2" t="s">
        <v>59</v>
      </c>
      <c r="E19" s="6">
        <v>22.0</v>
      </c>
      <c r="F19" s="6">
        <f t="shared" si="5"/>
        <v>0.09565217391</v>
      </c>
      <c r="G19" s="7">
        <v>5.0</v>
      </c>
      <c r="H19" s="7"/>
      <c r="I19" s="7"/>
      <c r="J19" s="7"/>
      <c r="K19" s="2"/>
      <c r="L19" s="2"/>
      <c r="M19" s="2"/>
      <c r="R19" s="8">
        <f t="shared" si="2"/>
        <v>0</v>
      </c>
      <c r="S19" s="5" t="s">
        <v>60</v>
      </c>
      <c r="U19" s="8">
        <f>X19/X15*100</f>
        <v>25</v>
      </c>
      <c r="X19" s="8">
        <f>SUM(N3:N80)</f>
        <v>3</v>
      </c>
    </row>
    <row r="20" ht="15.75" customHeight="1">
      <c r="A20" s="9">
        <v>45737.52013888889</v>
      </c>
      <c r="B20" s="2" t="s">
        <v>40</v>
      </c>
      <c r="C20" s="2" t="s">
        <v>25</v>
      </c>
      <c r="D20" s="2" t="s">
        <v>30</v>
      </c>
      <c r="E20" s="6">
        <v>12.0</v>
      </c>
      <c r="F20" s="6">
        <f t="shared" si="5"/>
        <v>0.05217391304</v>
      </c>
      <c r="G20" s="7">
        <v>7.0</v>
      </c>
      <c r="H20" s="7"/>
      <c r="I20" s="7"/>
      <c r="J20" s="7"/>
      <c r="K20" s="2"/>
      <c r="L20" s="2"/>
      <c r="M20" s="2"/>
      <c r="R20" s="8">
        <f t="shared" si="2"/>
        <v>0</v>
      </c>
      <c r="S20" s="5" t="s">
        <v>61</v>
      </c>
      <c r="U20" s="8">
        <f>X20/X15*100</f>
        <v>0</v>
      </c>
      <c r="X20" s="5">
        <v>0.0</v>
      </c>
    </row>
    <row r="21" ht="15.75" customHeight="1">
      <c r="A21" s="9">
        <v>45739.631944444445</v>
      </c>
      <c r="B21" s="2" t="s">
        <v>25</v>
      </c>
      <c r="C21" s="2" t="s">
        <v>40</v>
      </c>
      <c r="D21" s="2" t="s">
        <v>43</v>
      </c>
      <c r="E21" s="6">
        <v>37.0</v>
      </c>
      <c r="F21" s="6">
        <f t="shared" si="5"/>
        <v>0.1608695652</v>
      </c>
      <c r="G21" s="7">
        <v>11.0</v>
      </c>
      <c r="H21" s="7"/>
      <c r="I21" s="7"/>
      <c r="J21" s="7"/>
      <c r="K21" s="2"/>
      <c r="L21" s="2"/>
      <c r="M21" s="2"/>
      <c r="Q21" s="5">
        <v>1.0</v>
      </c>
      <c r="R21" s="8">
        <f t="shared" si="2"/>
        <v>1</v>
      </c>
      <c r="S21" s="5" t="s">
        <v>16</v>
      </c>
      <c r="U21" s="8">
        <f>X21/X15*100</f>
        <v>0</v>
      </c>
      <c r="X21" s="5">
        <v>0.0</v>
      </c>
    </row>
    <row r="22" ht="15.75" customHeight="1">
      <c r="A22" s="9">
        <v>45744.51111111111</v>
      </c>
      <c r="B22" s="2" t="s">
        <v>45</v>
      </c>
      <c r="C22" s="2" t="s">
        <v>25</v>
      </c>
      <c r="D22" s="2" t="s">
        <v>46</v>
      </c>
      <c r="E22" s="6">
        <v>61.0</v>
      </c>
      <c r="F22" s="6">
        <f t="shared" si="5"/>
        <v>0.2652173913</v>
      </c>
      <c r="G22" s="7">
        <v>12.0</v>
      </c>
      <c r="H22" s="7"/>
      <c r="I22" s="7"/>
      <c r="J22" s="7"/>
      <c r="K22" s="2"/>
      <c r="L22" s="2"/>
      <c r="M22" s="2"/>
      <c r="R22" s="8">
        <f t="shared" si="2"/>
        <v>0</v>
      </c>
      <c r="S22" s="5" t="s">
        <v>62</v>
      </c>
      <c r="U22" s="8">
        <f>X22/X15*100</f>
        <v>16.66666667</v>
      </c>
      <c r="X22" s="8">
        <f>SUM(Q2:Q79)</f>
        <v>2</v>
      </c>
    </row>
    <row r="23" ht="15.75" customHeight="1">
      <c r="A23" s="9">
        <v>45744.631944444445</v>
      </c>
      <c r="B23" s="2" t="s">
        <v>25</v>
      </c>
      <c r="C23" s="2" t="s">
        <v>40</v>
      </c>
      <c r="D23" s="2" t="s">
        <v>43</v>
      </c>
      <c r="E23" s="6">
        <v>16.0</v>
      </c>
      <c r="F23" s="6">
        <f t="shared" si="5"/>
        <v>0.06956521739</v>
      </c>
      <c r="G23" s="7">
        <v>12.0</v>
      </c>
      <c r="H23" s="7"/>
      <c r="I23" s="7"/>
      <c r="J23" s="7"/>
      <c r="K23" s="2"/>
      <c r="L23" s="2"/>
      <c r="M23" s="2"/>
      <c r="Q23" s="5">
        <v>1.0</v>
      </c>
      <c r="R23" s="8">
        <f t="shared" si="2"/>
        <v>1</v>
      </c>
      <c r="S23" s="5" t="s">
        <v>63</v>
      </c>
      <c r="W23" s="8">
        <f>CORREL(E3:E80,R3:R80)</f>
        <v>-0.08549988768</v>
      </c>
    </row>
    <row r="24" ht="15.75" customHeight="1">
      <c r="A24" s="9">
        <v>45751.51111111111</v>
      </c>
      <c r="B24" s="2" t="s">
        <v>40</v>
      </c>
      <c r="C24" s="2" t="s">
        <v>25</v>
      </c>
      <c r="D24" s="2" t="s">
        <v>46</v>
      </c>
      <c r="E24" s="6">
        <v>2.0</v>
      </c>
      <c r="F24" s="6">
        <f t="shared" si="5"/>
        <v>0.008695652174</v>
      </c>
      <c r="G24" s="7">
        <v>12.0</v>
      </c>
      <c r="H24" s="7"/>
      <c r="I24" s="7"/>
      <c r="J24" s="7"/>
      <c r="K24" s="2"/>
      <c r="L24" s="2"/>
      <c r="M24" s="2"/>
      <c r="R24" s="8">
        <f t="shared" si="2"/>
        <v>0</v>
      </c>
      <c r="S24" s="5" t="s">
        <v>64</v>
      </c>
      <c r="W24" s="8">
        <f>CORREL(F3:F80,G3:G80)</f>
        <v>-0.238761167</v>
      </c>
    </row>
    <row r="25" ht="15.75" customHeight="1">
      <c r="A25" s="9">
        <v>45753.71527777778</v>
      </c>
      <c r="B25" s="2" t="s">
        <v>25</v>
      </c>
      <c r="C25" s="2" t="s">
        <v>40</v>
      </c>
      <c r="D25" s="2" t="s">
        <v>65</v>
      </c>
      <c r="E25" s="6">
        <v>11.0</v>
      </c>
      <c r="F25" s="6">
        <f t="shared" si="5"/>
        <v>0.04782608696</v>
      </c>
      <c r="G25" s="7">
        <v>3.0</v>
      </c>
      <c r="H25" s="7"/>
      <c r="I25" s="7"/>
      <c r="J25" s="7"/>
      <c r="K25" s="2"/>
      <c r="L25" s="2"/>
      <c r="M25" s="2"/>
      <c r="R25" s="8">
        <f t="shared" si="2"/>
        <v>0</v>
      </c>
      <c r="S25" s="5" t="s">
        <v>66</v>
      </c>
      <c r="W25" s="8">
        <f>CORREL(F3:F80,R3:R80)</f>
        <v>-0.08797686753</v>
      </c>
    </row>
    <row r="26" ht="15.75" customHeight="1">
      <c r="A26" s="10">
        <v>45758.51111111111</v>
      </c>
      <c r="B26" s="2" t="s">
        <v>40</v>
      </c>
      <c r="C26" s="2" t="s">
        <v>25</v>
      </c>
      <c r="D26" s="2" t="s">
        <v>46</v>
      </c>
      <c r="E26" s="6">
        <v>12.0</v>
      </c>
      <c r="F26" s="6">
        <f t="shared" si="5"/>
        <v>0.05217391304</v>
      </c>
      <c r="G26" s="7">
        <v>10.0</v>
      </c>
      <c r="H26" s="7"/>
      <c r="I26" s="7"/>
      <c r="J26" s="7"/>
      <c r="K26" s="2"/>
      <c r="L26" s="2"/>
      <c r="M26" s="2"/>
      <c r="R26" s="8">
        <f t="shared" si="2"/>
        <v>0</v>
      </c>
      <c r="S26" s="5" t="s">
        <v>67</v>
      </c>
      <c r="U26" s="8">
        <f>X15/X7*100</f>
        <v>15.38461538</v>
      </c>
    </row>
    <row r="27" ht="15.75" customHeight="1">
      <c r="A27" s="10">
        <v>45760.631944444445</v>
      </c>
      <c r="B27" s="2" t="s">
        <v>25</v>
      </c>
      <c r="C27" s="2" t="s">
        <v>40</v>
      </c>
      <c r="D27" s="2" t="s">
        <v>43</v>
      </c>
      <c r="E27" s="6">
        <v>13.0</v>
      </c>
      <c r="F27" s="6">
        <f t="shared" si="5"/>
        <v>0.05652173913</v>
      </c>
      <c r="G27" s="7">
        <v>13.0</v>
      </c>
      <c r="H27" s="7"/>
      <c r="I27" s="7"/>
      <c r="J27" s="7"/>
      <c r="K27" s="2"/>
      <c r="L27" s="2"/>
      <c r="M27" s="2"/>
      <c r="R27" s="8">
        <f t="shared" si="2"/>
        <v>0</v>
      </c>
    </row>
    <row r="28" ht="15.75" customHeight="1">
      <c r="A28" s="10">
        <v>45763.677777777775</v>
      </c>
      <c r="B28" s="2" t="s">
        <v>40</v>
      </c>
      <c r="C28" s="2" t="s">
        <v>25</v>
      </c>
      <c r="D28" s="2" t="s">
        <v>68</v>
      </c>
      <c r="E28" s="6">
        <v>12.0</v>
      </c>
      <c r="F28" s="6">
        <f t="shared" si="5"/>
        <v>0.05217391304</v>
      </c>
      <c r="G28" s="7">
        <v>19.0</v>
      </c>
      <c r="H28" s="7"/>
      <c r="I28" s="7"/>
      <c r="J28" s="7"/>
      <c r="K28" s="2"/>
      <c r="L28" s="2"/>
      <c r="M28" s="2"/>
      <c r="R28" s="8">
        <f t="shared" si="2"/>
        <v>0</v>
      </c>
    </row>
    <row r="29" ht="15.75" customHeight="1">
      <c r="A29" s="10">
        <v>45774.62777777778</v>
      </c>
      <c r="B29" s="2" t="s">
        <v>25</v>
      </c>
      <c r="C29" s="2" t="s">
        <v>40</v>
      </c>
      <c r="D29" s="2" t="s">
        <v>54</v>
      </c>
      <c r="E29" s="6">
        <v>8.0</v>
      </c>
      <c r="F29" s="6">
        <f>E29/234</f>
        <v>0.03418803419</v>
      </c>
      <c r="G29" s="7">
        <v>13.0</v>
      </c>
      <c r="H29" s="7"/>
      <c r="I29" s="7"/>
      <c r="J29" s="7"/>
      <c r="K29" s="2"/>
      <c r="L29" s="2"/>
      <c r="M29" s="2"/>
      <c r="R29" s="8">
        <f t="shared" si="2"/>
        <v>0</v>
      </c>
    </row>
    <row r="30" ht="15.75" customHeight="1">
      <c r="A30" s="10">
        <v>45777.677777777775</v>
      </c>
      <c r="B30" s="2" t="s">
        <v>40</v>
      </c>
      <c r="C30" s="2" t="s">
        <v>25</v>
      </c>
      <c r="D30" s="2" t="s">
        <v>35</v>
      </c>
      <c r="E30" s="6">
        <v>20.0</v>
      </c>
      <c r="F30" s="6">
        <f t="shared" ref="F30:F40" si="6">E30/230</f>
        <v>0.08695652174</v>
      </c>
      <c r="G30" s="7">
        <v>17.0</v>
      </c>
      <c r="H30" s="7"/>
      <c r="I30" s="7"/>
      <c r="J30" s="7"/>
      <c r="K30" s="2"/>
      <c r="L30" s="2"/>
      <c r="M30" s="2"/>
      <c r="R30" s="8">
        <f t="shared" si="2"/>
        <v>0</v>
      </c>
    </row>
    <row r="31" ht="15.75" customHeight="1">
      <c r="A31" s="9">
        <v>45781.71527777778</v>
      </c>
      <c r="B31" s="2" t="s">
        <v>25</v>
      </c>
      <c r="C31" s="2" t="s">
        <v>40</v>
      </c>
      <c r="D31" s="2" t="s">
        <v>48</v>
      </c>
      <c r="E31" s="6">
        <v>20.0</v>
      </c>
      <c r="F31" s="6">
        <f t="shared" si="6"/>
        <v>0.08695652174</v>
      </c>
      <c r="G31" s="7">
        <v>19.0</v>
      </c>
      <c r="H31" s="7"/>
      <c r="I31" s="7"/>
      <c r="J31" s="7"/>
      <c r="K31" s="3">
        <v>1.0</v>
      </c>
      <c r="L31" s="2"/>
      <c r="M31" s="2"/>
      <c r="R31" s="8">
        <f t="shared" si="2"/>
        <v>1</v>
      </c>
    </row>
    <row r="32" ht="15.75" customHeight="1">
      <c r="A32" s="10">
        <v>45789.51388888889</v>
      </c>
      <c r="B32" s="2" t="s">
        <v>40</v>
      </c>
      <c r="C32" s="2" t="s">
        <v>25</v>
      </c>
      <c r="D32" s="2" t="s">
        <v>30</v>
      </c>
      <c r="E32" s="6">
        <v>-3.0</v>
      </c>
      <c r="F32" s="6">
        <f t="shared" si="6"/>
        <v>-0.01304347826</v>
      </c>
      <c r="G32" s="7">
        <v>11.0</v>
      </c>
      <c r="H32" s="7"/>
      <c r="I32" s="7"/>
      <c r="J32" s="7"/>
      <c r="K32" s="2"/>
      <c r="L32" s="2"/>
      <c r="M32" s="2"/>
      <c r="R32" s="8">
        <f t="shared" si="2"/>
        <v>0</v>
      </c>
    </row>
    <row r="33" ht="15.75" customHeight="1">
      <c r="A33" s="10">
        <v>45789.79861111111</v>
      </c>
      <c r="B33" s="2" t="s">
        <v>25</v>
      </c>
      <c r="C33" s="2" t="s">
        <v>40</v>
      </c>
      <c r="D33" s="2" t="s">
        <v>59</v>
      </c>
      <c r="E33" s="6">
        <v>13.0</v>
      </c>
      <c r="F33" s="6">
        <f t="shared" si="6"/>
        <v>0.05652173913</v>
      </c>
      <c r="G33" s="7">
        <v>11.0</v>
      </c>
      <c r="H33" s="7"/>
      <c r="I33" s="7"/>
      <c r="J33" s="7"/>
      <c r="K33" s="2"/>
      <c r="L33" s="2"/>
      <c r="M33" s="2"/>
      <c r="R33" s="8">
        <f t="shared" si="2"/>
        <v>0</v>
      </c>
    </row>
    <row r="34" ht="15.75" customHeight="1">
      <c r="A34" s="9">
        <v>45794.52013888889</v>
      </c>
      <c r="B34" s="2" t="s">
        <v>40</v>
      </c>
      <c r="C34" s="2" t="s">
        <v>25</v>
      </c>
      <c r="D34" s="2" t="s">
        <v>46</v>
      </c>
      <c r="E34" s="6">
        <v>5.0</v>
      </c>
      <c r="F34" s="6">
        <f t="shared" si="6"/>
        <v>0.02173913043</v>
      </c>
      <c r="G34" s="7">
        <v>11.0</v>
      </c>
      <c r="H34" s="7"/>
      <c r="I34" s="7"/>
      <c r="J34" s="7"/>
      <c r="K34" s="2"/>
      <c r="L34" s="2"/>
      <c r="M34" s="2"/>
      <c r="R34" s="8">
        <f t="shared" si="2"/>
        <v>0</v>
      </c>
    </row>
    <row r="35" ht="15.75" customHeight="1">
      <c r="A35" s="9">
        <v>45795.79861111111</v>
      </c>
      <c r="B35" s="2" t="s">
        <v>25</v>
      </c>
      <c r="C35" s="2" t="s">
        <v>40</v>
      </c>
      <c r="D35" s="2" t="s">
        <v>59</v>
      </c>
      <c r="E35" s="6">
        <v>7.0</v>
      </c>
      <c r="F35" s="6">
        <f t="shared" si="6"/>
        <v>0.03043478261</v>
      </c>
      <c r="G35" s="7">
        <v>12.0</v>
      </c>
      <c r="H35" s="7"/>
      <c r="I35" s="7"/>
      <c r="J35" s="7"/>
      <c r="K35" s="2"/>
      <c r="L35" s="2"/>
      <c r="M35" s="2"/>
      <c r="R35" s="8">
        <f t="shared" si="2"/>
        <v>0</v>
      </c>
    </row>
    <row r="36" ht="15.75" customHeight="1">
      <c r="A36" s="9">
        <v>45800.43680555555</v>
      </c>
      <c r="B36" s="2" t="s">
        <v>40</v>
      </c>
      <c r="C36" s="2" t="s">
        <v>25</v>
      </c>
      <c r="D36" s="2" t="s">
        <v>69</v>
      </c>
      <c r="E36" s="6">
        <v>7.0</v>
      </c>
      <c r="F36" s="6">
        <f t="shared" si="6"/>
        <v>0.03043478261</v>
      </c>
      <c r="G36" s="7">
        <v>13.0</v>
      </c>
      <c r="H36" s="7"/>
      <c r="I36" s="7"/>
      <c r="J36" s="7"/>
      <c r="K36" s="2"/>
      <c r="L36" s="2"/>
      <c r="M36" s="2"/>
      <c r="R36" s="8">
        <f t="shared" si="2"/>
        <v>0</v>
      </c>
    </row>
    <row r="37" ht="15.75" customHeight="1">
      <c r="A37" s="9">
        <v>45804.24444444444</v>
      </c>
      <c r="B37" s="2" t="s">
        <v>25</v>
      </c>
      <c r="C37" s="2" t="s">
        <v>40</v>
      </c>
      <c r="D37" s="2" t="s">
        <v>70</v>
      </c>
      <c r="E37" s="6">
        <v>6.0</v>
      </c>
      <c r="F37" s="6">
        <f t="shared" si="6"/>
        <v>0.02608695652</v>
      </c>
      <c r="G37" s="7">
        <v>17.0</v>
      </c>
      <c r="H37" s="7"/>
      <c r="I37" s="7"/>
      <c r="J37" s="7"/>
      <c r="K37" s="2"/>
      <c r="L37" s="2"/>
      <c r="M37" s="2"/>
      <c r="R37" s="8">
        <f t="shared" si="2"/>
        <v>0</v>
      </c>
    </row>
    <row r="38" ht="15.75" customHeight="1">
      <c r="A38" s="9">
        <v>45804.52013888889</v>
      </c>
      <c r="B38" s="2" t="s">
        <v>40</v>
      </c>
      <c r="C38" s="2" t="s">
        <v>25</v>
      </c>
      <c r="D38" s="2" t="s">
        <v>30</v>
      </c>
      <c r="E38" s="6">
        <v>24.0</v>
      </c>
      <c r="F38" s="6">
        <f t="shared" si="6"/>
        <v>0.1043478261</v>
      </c>
      <c r="G38" s="7">
        <v>17.0</v>
      </c>
      <c r="H38" s="7"/>
      <c r="I38" s="7"/>
      <c r="J38" s="7"/>
      <c r="K38" s="2"/>
      <c r="L38" s="2"/>
      <c r="M38" s="2"/>
      <c r="R38" s="8">
        <f t="shared" si="2"/>
        <v>0</v>
      </c>
    </row>
    <row r="39" ht="15.75" customHeight="1">
      <c r="A39" s="9">
        <v>45812.54861111111</v>
      </c>
      <c r="B39" s="2" t="s">
        <v>25</v>
      </c>
      <c r="C39" s="2" t="s">
        <v>40</v>
      </c>
      <c r="D39" s="2" t="s">
        <v>38</v>
      </c>
      <c r="E39" s="6">
        <v>1.0</v>
      </c>
      <c r="F39" s="6">
        <f t="shared" si="6"/>
        <v>0.004347826087</v>
      </c>
      <c r="G39" s="7">
        <v>23.0</v>
      </c>
      <c r="H39" s="7"/>
      <c r="I39" s="7"/>
      <c r="J39" s="7"/>
      <c r="K39" s="11"/>
      <c r="L39" s="2"/>
      <c r="M39" s="2"/>
      <c r="R39" s="8">
        <f t="shared" si="2"/>
        <v>0</v>
      </c>
    </row>
    <row r="40" ht="15.75" customHeight="1">
      <c r="A40" s="9">
        <v>45814.592361111114</v>
      </c>
      <c r="B40" s="2" t="s">
        <v>71</v>
      </c>
      <c r="C40" s="2" t="s">
        <v>25</v>
      </c>
      <c r="D40" s="2" t="s">
        <v>52</v>
      </c>
      <c r="E40" s="6">
        <v>0.0</v>
      </c>
      <c r="F40" s="6">
        <f t="shared" si="6"/>
        <v>0</v>
      </c>
      <c r="G40" s="7">
        <v>22.0</v>
      </c>
      <c r="H40" s="7"/>
      <c r="I40" s="7"/>
      <c r="J40" s="7"/>
      <c r="K40" s="2"/>
      <c r="L40" s="2"/>
      <c r="M40" s="2"/>
      <c r="R40" s="8">
        <f t="shared" si="2"/>
        <v>0</v>
      </c>
    </row>
    <row r="41" ht="15.75" customHeight="1">
      <c r="A41" s="9">
        <v>45824.631944444445</v>
      </c>
      <c r="B41" s="2" t="s">
        <v>25</v>
      </c>
      <c r="C41" s="2" t="s">
        <v>40</v>
      </c>
      <c r="D41" s="2" t="s">
        <v>43</v>
      </c>
      <c r="E41" s="6">
        <v>-5.0</v>
      </c>
      <c r="F41" s="6">
        <f>E41/243</f>
        <v>-0.02057613169</v>
      </c>
      <c r="G41" s="7">
        <v>24.0</v>
      </c>
      <c r="H41" s="7"/>
      <c r="I41" s="7"/>
      <c r="J41" s="7"/>
      <c r="K41" s="2"/>
      <c r="L41" s="2"/>
      <c r="M41" s="2"/>
      <c r="R41" s="8">
        <f t="shared" si="2"/>
        <v>0</v>
      </c>
    </row>
    <row r="42" ht="15.75" customHeight="1">
      <c r="A42" s="12">
        <v>45826.60972222222</v>
      </c>
      <c r="B42" s="2" t="s">
        <v>40</v>
      </c>
      <c r="C42" s="2" t="s">
        <v>72</v>
      </c>
      <c r="D42" s="2" t="s">
        <v>73</v>
      </c>
      <c r="E42" s="6">
        <v>4.0</v>
      </c>
      <c r="F42" s="6">
        <f>E42/123</f>
        <v>0.0325203252</v>
      </c>
      <c r="G42" s="7">
        <v>24.0</v>
      </c>
      <c r="H42" s="7"/>
      <c r="I42" s="7"/>
      <c r="J42" s="7"/>
      <c r="K42" s="2"/>
      <c r="L42" s="2"/>
      <c r="M42" s="2"/>
      <c r="R42" s="8">
        <f t="shared" si="2"/>
        <v>0</v>
      </c>
    </row>
    <row r="43" ht="15.75" customHeight="1">
      <c r="A43" s="9">
        <v>45826.77638888889</v>
      </c>
      <c r="B43" s="2" t="s">
        <v>72</v>
      </c>
      <c r="C43" s="2" t="s">
        <v>25</v>
      </c>
      <c r="D43" s="2" t="s">
        <v>74</v>
      </c>
      <c r="E43" s="6">
        <v>8.0</v>
      </c>
      <c r="F43" s="6">
        <f>E43/158</f>
        <v>0.05063291139</v>
      </c>
      <c r="G43" s="7">
        <v>27.0</v>
      </c>
      <c r="H43" s="7"/>
      <c r="I43" s="7"/>
      <c r="J43" s="7"/>
      <c r="K43" s="2"/>
      <c r="L43" s="2"/>
      <c r="M43" s="2"/>
      <c r="R43" s="8">
        <f t="shared" si="2"/>
        <v>0</v>
      </c>
    </row>
    <row r="44" ht="15.75" customHeight="1">
      <c r="A44" s="9">
        <v>45833.631944444445</v>
      </c>
      <c r="B44" s="2" t="s">
        <v>25</v>
      </c>
      <c r="C44" s="2" t="s">
        <v>40</v>
      </c>
      <c r="D44" s="2" t="s">
        <v>43</v>
      </c>
      <c r="E44" s="6">
        <v>6.0</v>
      </c>
      <c r="F44" s="6">
        <f t="shared" ref="F44:F55" si="7">E44/230</f>
        <v>0.02608695652</v>
      </c>
      <c r="G44" s="7">
        <v>27.0</v>
      </c>
      <c r="H44" s="7"/>
      <c r="I44" s="7"/>
      <c r="J44" s="7"/>
      <c r="K44" s="2"/>
      <c r="L44" s="2"/>
      <c r="M44" s="2"/>
      <c r="R44" s="8">
        <f t="shared" si="2"/>
        <v>0</v>
      </c>
    </row>
    <row r="45" ht="15.75" customHeight="1">
      <c r="A45" s="9">
        <v>45834.58194444444</v>
      </c>
      <c r="B45" s="2" t="s">
        <v>40</v>
      </c>
      <c r="C45" s="2" t="s">
        <v>25</v>
      </c>
      <c r="D45" s="2" t="s">
        <v>75</v>
      </c>
      <c r="E45" s="6">
        <v>4.0</v>
      </c>
      <c r="F45" s="6">
        <f t="shared" si="7"/>
        <v>0.01739130435</v>
      </c>
      <c r="G45" s="7">
        <v>28.0</v>
      </c>
      <c r="H45" s="7"/>
      <c r="I45" s="7"/>
      <c r="J45" s="7"/>
      <c r="K45" s="2"/>
      <c r="L45" s="2"/>
      <c r="M45" s="2"/>
      <c r="N45" s="5">
        <v>1.0</v>
      </c>
      <c r="R45" s="8">
        <f t="shared" si="2"/>
        <v>1</v>
      </c>
    </row>
    <row r="46" ht="15.75" customHeight="1">
      <c r="A46" s="9">
        <v>45844.364583333336</v>
      </c>
      <c r="B46" s="2" t="s">
        <v>25</v>
      </c>
      <c r="C46" s="2" t="s">
        <v>40</v>
      </c>
      <c r="D46" s="2" t="s">
        <v>76</v>
      </c>
      <c r="E46" s="6">
        <v>14.0</v>
      </c>
      <c r="F46" s="6">
        <f t="shared" si="7"/>
        <v>0.06086956522</v>
      </c>
      <c r="G46" s="7">
        <v>26.0</v>
      </c>
      <c r="H46" s="7"/>
      <c r="I46" s="7"/>
      <c r="J46" s="7"/>
      <c r="M46" s="2"/>
      <c r="R46" s="8">
        <f t="shared" si="2"/>
        <v>0</v>
      </c>
    </row>
    <row r="47" ht="15.75" customHeight="1">
      <c r="A47" s="9">
        <v>45844.67152777778</v>
      </c>
      <c r="B47" s="2" t="s">
        <v>40</v>
      </c>
      <c r="C47" s="2" t="s">
        <v>25</v>
      </c>
      <c r="D47" s="2" t="s">
        <v>77</v>
      </c>
      <c r="E47" s="6">
        <v>0.0</v>
      </c>
      <c r="F47" s="6">
        <f t="shared" si="7"/>
        <v>0</v>
      </c>
      <c r="G47" s="7">
        <v>26.0</v>
      </c>
      <c r="H47" s="7"/>
      <c r="I47" s="7"/>
      <c r="J47" s="7"/>
      <c r="K47" s="13">
        <v>1.0</v>
      </c>
      <c r="L47" s="2"/>
      <c r="M47" s="3">
        <v>1.0</v>
      </c>
      <c r="R47" s="8">
        <f t="shared" si="2"/>
        <v>2</v>
      </c>
    </row>
    <row r="48" ht="15.75" customHeight="1">
      <c r="A48" s="9">
        <v>45881.46527777778</v>
      </c>
      <c r="B48" s="2" t="s">
        <v>25</v>
      </c>
      <c r="C48" s="2" t="s">
        <v>40</v>
      </c>
      <c r="D48" s="2" t="s">
        <v>78</v>
      </c>
      <c r="E48" s="6">
        <v>13.0</v>
      </c>
      <c r="F48" s="6">
        <f t="shared" si="7"/>
        <v>0.05652173913</v>
      </c>
      <c r="G48" s="7">
        <v>22.0</v>
      </c>
      <c r="H48" s="7"/>
      <c r="I48" s="7"/>
      <c r="J48" s="7"/>
      <c r="K48" s="2"/>
      <c r="L48" s="2"/>
      <c r="M48" s="2"/>
      <c r="R48" s="8">
        <f t="shared" si="2"/>
        <v>0</v>
      </c>
    </row>
    <row r="49" ht="15.75" customHeight="1">
      <c r="A49" s="9">
        <v>45881.853472222225</v>
      </c>
      <c r="B49" s="2" t="s">
        <v>40</v>
      </c>
      <c r="C49" s="2" t="s">
        <v>25</v>
      </c>
      <c r="D49" s="2" t="s">
        <v>79</v>
      </c>
      <c r="E49" s="6">
        <v>14.0</v>
      </c>
      <c r="F49" s="6">
        <f t="shared" si="7"/>
        <v>0.06086956522</v>
      </c>
      <c r="G49" s="7">
        <v>22.0</v>
      </c>
      <c r="H49" s="7"/>
      <c r="I49" s="7"/>
      <c r="J49" s="7"/>
      <c r="K49" s="2"/>
      <c r="L49" s="2"/>
      <c r="M49" s="2"/>
      <c r="R49" s="8">
        <f t="shared" si="2"/>
        <v>0</v>
      </c>
    </row>
    <row r="50" ht="15.75" customHeight="1">
      <c r="A50" s="9">
        <v>45892.29861111111</v>
      </c>
      <c r="B50" s="2" t="s">
        <v>25</v>
      </c>
      <c r="C50" s="2" t="s">
        <v>40</v>
      </c>
      <c r="D50" s="2" t="s">
        <v>80</v>
      </c>
      <c r="E50" s="6">
        <v>8.0</v>
      </c>
      <c r="F50" s="6">
        <f t="shared" si="7"/>
        <v>0.0347826087</v>
      </c>
      <c r="G50" s="7">
        <v>18.0</v>
      </c>
      <c r="H50" s="7"/>
      <c r="I50" s="7"/>
      <c r="J50" s="7"/>
      <c r="K50" s="2"/>
      <c r="L50" s="2"/>
      <c r="M50" s="2"/>
      <c r="R50" s="8">
        <f t="shared" si="2"/>
        <v>0</v>
      </c>
    </row>
    <row r="51" ht="15.75" customHeight="1">
      <c r="A51" s="9">
        <v>45892.52013888889</v>
      </c>
      <c r="B51" s="2" t="s">
        <v>40</v>
      </c>
      <c r="C51" s="2" t="s">
        <v>25</v>
      </c>
      <c r="D51" s="2" t="s">
        <v>46</v>
      </c>
      <c r="E51" s="6">
        <v>13.0</v>
      </c>
      <c r="F51" s="6">
        <f t="shared" si="7"/>
        <v>0.05652173913</v>
      </c>
      <c r="G51" s="7">
        <v>18.0</v>
      </c>
      <c r="H51" s="7"/>
      <c r="I51" s="7"/>
      <c r="J51" s="7"/>
      <c r="K51" s="2"/>
      <c r="L51" s="2"/>
      <c r="M51" s="2"/>
      <c r="R51" s="8">
        <f t="shared" si="2"/>
        <v>0</v>
      </c>
    </row>
    <row r="52" ht="15.75" customHeight="1">
      <c r="A52" s="9">
        <v>45912.52013888889</v>
      </c>
      <c r="B52" s="2" t="s">
        <v>40</v>
      </c>
      <c r="C52" s="2" t="s">
        <v>25</v>
      </c>
      <c r="D52" s="2" t="s">
        <v>46</v>
      </c>
      <c r="E52" s="6">
        <v>13.0</v>
      </c>
      <c r="F52" s="6">
        <f t="shared" si="7"/>
        <v>0.05652173913</v>
      </c>
      <c r="G52" s="7">
        <v>19.0</v>
      </c>
      <c r="H52" s="7"/>
      <c r="I52" s="7"/>
      <c r="J52" s="7"/>
      <c r="K52" s="2"/>
      <c r="L52" s="2"/>
      <c r="M52" s="2"/>
      <c r="R52" s="8">
        <f t="shared" si="2"/>
        <v>0</v>
      </c>
    </row>
    <row r="53" ht="15.75" customHeight="1">
      <c r="A53" s="9">
        <v>45916.381944444445</v>
      </c>
      <c r="B53" s="2" t="s">
        <v>25</v>
      </c>
      <c r="C53" s="2" t="s">
        <v>45</v>
      </c>
      <c r="D53" s="2" t="s">
        <v>81</v>
      </c>
      <c r="E53" s="6">
        <v>5.0</v>
      </c>
      <c r="F53" s="6">
        <f t="shared" si="7"/>
        <v>0.02173913043</v>
      </c>
      <c r="G53" s="7">
        <v>16.0</v>
      </c>
      <c r="H53" s="7"/>
      <c r="I53" s="7"/>
      <c r="J53" s="7"/>
      <c r="K53" s="2"/>
      <c r="L53" s="2"/>
      <c r="M53" s="2"/>
      <c r="R53" s="8">
        <f t="shared" si="2"/>
        <v>0</v>
      </c>
    </row>
    <row r="54" ht="15.75" customHeight="1">
      <c r="A54" s="9">
        <v>45919.52013888889</v>
      </c>
      <c r="B54" s="2" t="s">
        <v>40</v>
      </c>
      <c r="C54" s="2" t="s">
        <v>25</v>
      </c>
      <c r="D54" s="2" t="s">
        <v>46</v>
      </c>
      <c r="E54" s="6">
        <v>1.0</v>
      </c>
      <c r="F54" s="6">
        <f t="shared" si="7"/>
        <v>0.004347826087</v>
      </c>
      <c r="G54" s="7">
        <v>18.0</v>
      </c>
      <c r="H54" s="7"/>
      <c r="I54" s="7"/>
      <c r="J54" s="7"/>
      <c r="K54" s="2"/>
      <c r="L54" s="2"/>
      <c r="M54" s="2"/>
      <c r="R54" s="8">
        <f t="shared" si="2"/>
        <v>0</v>
      </c>
    </row>
    <row r="55" ht="15.75" customHeight="1">
      <c r="A55" s="9">
        <v>45921.79861111111</v>
      </c>
      <c r="B55" s="2" t="s">
        <v>25</v>
      </c>
      <c r="C55" s="2" t="s">
        <v>40</v>
      </c>
      <c r="D55" s="2" t="s">
        <v>69</v>
      </c>
      <c r="E55" s="6">
        <v>24.0</v>
      </c>
      <c r="F55" s="6">
        <f t="shared" si="7"/>
        <v>0.1043478261</v>
      </c>
      <c r="G55" s="7">
        <v>21.0</v>
      </c>
      <c r="H55" s="7"/>
      <c r="I55" s="7"/>
      <c r="J55" s="7"/>
      <c r="K55" s="2"/>
      <c r="L55" s="2"/>
      <c r="M55" s="3">
        <v>1.0</v>
      </c>
      <c r="R55" s="8">
        <f t="shared" si="2"/>
        <v>1</v>
      </c>
    </row>
    <row r="56" ht="15.75" customHeight="1">
      <c r="A56" s="14" t="s">
        <v>82</v>
      </c>
      <c r="B56" s="15" t="s">
        <v>83</v>
      </c>
      <c r="C56" s="15" t="s">
        <v>25</v>
      </c>
      <c r="D56" s="15" t="s">
        <v>68</v>
      </c>
      <c r="E56" s="15">
        <v>40.0</v>
      </c>
      <c r="F56" s="6">
        <f>E56/240</f>
        <v>0.1666666667</v>
      </c>
      <c r="G56" s="7">
        <v>9.0</v>
      </c>
      <c r="H56" s="7"/>
      <c r="I56" s="7"/>
      <c r="J56" s="7"/>
      <c r="K56" s="15"/>
      <c r="R56" s="8">
        <f t="shared" si="2"/>
        <v>0</v>
      </c>
    </row>
    <row r="57" ht="15.75" customHeight="1">
      <c r="A57" s="14" t="s">
        <v>84</v>
      </c>
      <c r="B57" s="15" t="s">
        <v>25</v>
      </c>
      <c r="C57" s="15" t="s">
        <v>40</v>
      </c>
      <c r="D57" s="15" t="s">
        <v>69</v>
      </c>
      <c r="E57" s="15">
        <v>14.0</v>
      </c>
      <c r="F57" s="6">
        <f t="shared" ref="F57:F66" si="8">E57/230</f>
        <v>0.06086956522</v>
      </c>
      <c r="G57" s="7">
        <v>10.0</v>
      </c>
      <c r="H57" s="7"/>
      <c r="I57" s="7"/>
      <c r="J57" s="7"/>
      <c r="K57" s="15"/>
      <c r="R57" s="8">
        <f t="shared" si="2"/>
        <v>0</v>
      </c>
    </row>
    <row r="58" ht="15.75" customHeight="1">
      <c r="A58" s="14" t="s">
        <v>85</v>
      </c>
      <c r="B58" s="15" t="s">
        <v>45</v>
      </c>
      <c r="C58" s="15" t="s">
        <v>25</v>
      </c>
      <c r="D58" s="15" t="s">
        <v>30</v>
      </c>
      <c r="E58" s="15">
        <v>20.0</v>
      </c>
      <c r="F58" s="6">
        <f t="shared" si="8"/>
        <v>0.08695652174</v>
      </c>
      <c r="G58" s="7">
        <v>13.0</v>
      </c>
      <c r="H58" s="7"/>
      <c r="I58" s="7"/>
      <c r="J58" s="7"/>
      <c r="K58" s="15"/>
      <c r="R58" s="8">
        <f t="shared" si="2"/>
        <v>0</v>
      </c>
    </row>
    <row r="59" ht="15.75" customHeight="1">
      <c r="A59" s="16">
        <v>45942.79861111111</v>
      </c>
      <c r="B59" s="5" t="s">
        <v>25</v>
      </c>
      <c r="C59" s="5" t="s">
        <v>40</v>
      </c>
      <c r="D59" s="5" t="s">
        <v>59</v>
      </c>
      <c r="E59" s="5">
        <v>14.0</v>
      </c>
      <c r="F59" s="6">
        <f t="shared" si="8"/>
        <v>0.06086956522</v>
      </c>
      <c r="G59" s="7">
        <v>12.0</v>
      </c>
      <c r="H59" s="7"/>
      <c r="I59" s="7"/>
      <c r="J59" s="7"/>
      <c r="K59" s="5">
        <v>1.0</v>
      </c>
      <c r="L59" s="5">
        <v>1.0</v>
      </c>
      <c r="R59" s="8">
        <f t="shared" si="2"/>
        <v>1</v>
      </c>
    </row>
    <row r="60" ht="15.75" customHeight="1">
      <c r="A60" s="16">
        <v>45945.68680555555</v>
      </c>
      <c r="B60" s="5" t="s">
        <v>45</v>
      </c>
      <c r="C60" s="5" t="s">
        <v>25</v>
      </c>
      <c r="D60" s="5" t="s">
        <v>68</v>
      </c>
      <c r="E60" s="5">
        <v>7.0</v>
      </c>
      <c r="F60" s="6">
        <f t="shared" si="8"/>
        <v>0.03043478261</v>
      </c>
      <c r="G60" s="7">
        <v>11.0</v>
      </c>
      <c r="H60" s="7"/>
      <c r="I60" s="7"/>
      <c r="J60" s="7"/>
      <c r="R60" s="8">
        <f t="shared" si="2"/>
        <v>0</v>
      </c>
    </row>
    <row r="61" ht="15.75" customHeight="1">
      <c r="A61" s="16">
        <v>45946.46527777778</v>
      </c>
      <c r="B61" s="5" t="s">
        <v>25</v>
      </c>
      <c r="C61" s="5" t="s">
        <v>45</v>
      </c>
      <c r="D61" s="5" t="s">
        <v>86</v>
      </c>
      <c r="E61" s="5">
        <v>5.0</v>
      </c>
      <c r="F61" s="6">
        <f t="shared" si="8"/>
        <v>0.02173913043</v>
      </c>
      <c r="G61" s="7">
        <v>10.0</v>
      </c>
      <c r="H61" s="7"/>
      <c r="I61" s="7"/>
      <c r="J61" s="7"/>
      <c r="R61" s="8">
        <f t="shared" si="2"/>
        <v>0</v>
      </c>
    </row>
    <row r="62" ht="15.75" customHeight="1">
      <c r="A62" s="16">
        <v>45952.68680555555</v>
      </c>
      <c r="B62" s="5" t="s">
        <v>40</v>
      </c>
      <c r="C62" s="5" t="s">
        <v>25</v>
      </c>
      <c r="D62" s="5" t="s">
        <v>68</v>
      </c>
      <c r="E62" s="5">
        <v>55.0</v>
      </c>
      <c r="F62" s="6">
        <f t="shared" si="8"/>
        <v>0.2391304348</v>
      </c>
      <c r="G62" s="7">
        <v>15.0</v>
      </c>
      <c r="H62" s="7"/>
      <c r="I62" s="7"/>
      <c r="J62" s="7"/>
      <c r="R62" s="8">
        <f t="shared" si="2"/>
        <v>0</v>
      </c>
    </row>
    <row r="63" ht="15.75" customHeight="1">
      <c r="A63" s="16">
        <v>45956.79861111111</v>
      </c>
      <c r="B63" s="5" t="s">
        <v>25</v>
      </c>
      <c r="C63" s="5" t="s">
        <v>40</v>
      </c>
      <c r="D63" s="5" t="s">
        <v>59</v>
      </c>
      <c r="E63" s="5">
        <v>25.0</v>
      </c>
      <c r="F63" s="6">
        <f t="shared" si="8"/>
        <v>0.1086956522</v>
      </c>
      <c r="G63" s="7">
        <v>9.0</v>
      </c>
      <c r="H63" s="7"/>
      <c r="I63" s="7"/>
      <c r="J63" s="7"/>
      <c r="R63" s="8">
        <f t="shared" si="2"/>
        <v>0</v>
      </c>
    </row>
    <row r="64" ht="15.75" customHeight="1">
      <c r="A64" s="16">
        <v>45960.433333333334</v>
      </c>
      <c r="B64" s="5" t="s">
        <v>40</v>
      </c>
      <c r="C64" s="5" t="s">
        <v>25</v>
      </c>
      <c r="D64" s="5" t="s">
        <v>87</v>
      </c>
      <c r="E64" s="5">
        <v>14.0</v>
      </c>
      <c r="F64" s="6">
        <f t="shared" si="8"/>
        <v>0.06086956522</v>
      </c>
      <c r="G64" s="7">
        <v>14.0</v>
      </c>
      <c r="H64" s="7"/>
      <c r="I64" s="7"/>
      <c r="J64" s="7"/>
      <c r="R64" s="8">
        <f t="shared" si="2"/>
        <v>0</v>
      </c>
    </row>
    <row r="65" ht="15.75" customHeight="1">
      <c r="A65" s="17">
        <v>45964.24444444444</v>
      </c>
      <c r="B65" s="5" t="s">
        <v>25</v>
      </c>
      <c r="C65" s="5" t="s">
        <v>40</v>
      </c>
      <c r="D65" s="5" t="s">
        <v>27</v>
      </c>
      <c r="E65" s="5">
        <v>29.0</v>
      </c>
      <c r="F65" s="6">
        <f t="shared" si="8"/>
        <v>0.1260869565</v>
      </c>
      <c r="G65" s="7">
        <v>11.0</v>
      </c>
      <c r="H65" s="7"/>
      <c r="I65" s="7"/>
      <c r="J65" s="7"/>
      <c r="R65" s="8">
        <f t="shared" si="2"/>
        <v>0</v>
      </c>
    </row>
    <row r="66" ht="15.75" customHeight="1">
      <c r="A66" s="17">
        <v>45968.52013888889</v>
      </c>
      <c r="B66" s="5" t="s">
        <v>40</v>
      </c>
      <c r="C66" s="5" t="s">
        <v>25</v>
      </c>
      <c r="D66" s="5" t="s">
        <v>30</v>
      </c>
      <c r="E66" s="5">
        <v>39.0</v>
      </c>
      <c r="F66" s="6">
        <f t="shared" si="8"/>
        <v>0.1695652174</v>
      </c>
      <c r="G66" s="7">
        <v>8.0</v>
      </c>
      <c r="H66" s="7"/>
      <c r="I66" s="7"/>
      <c r="J66" s="7"/>
      <c r="R66" s="8">
        <f t="shared" si="2"/>
        <v>0</v>
      </c>
    </row>
    <row r="67" ht="15.75" customHeight="1">
      <c r="A67" s="17">
        <v>45970.62777777778</v>
      </c>
      <c r="B67" s="5" t="s">
        <v>25</v>
      </c>
      <c r="C67" s="5" t="s">
        <v>40</v>
      </c>
      <c r="D67" s="5" t="s">
        <v>54</v>
      </c>
      <c r="E67" s="5">
        <v>30.0</v>
      </c>
      <c r="F67" s="6">
        <f>E67/234</f>
        <v>0.1282051282</v>
      </c>
      <c r="G67" s="7">
        <v>9.0</v>
      </c>
      <c r="H67" s="7"/>
      <c r="I67" s="7"/>
      <c r="J67" s="7"/>
      <c r="R67" s="8">
        <f t="shared" si="2"/>
        <v>0</v>
      </c>
    </row>
    <row r="68" ht="15.75" customHeight="1">
      <c r="A68" s="17">
        <v>45975.52013888889</v>
      </c>
      <c r="B68" s="5" t="s">
        <v>40</v>
      </c>
      <c r="C68" s="5" t="s">
        <v>25</v>
      </c>
      <c r="D68" s="5" t="s">
        <v>46</v>
      </c>
      <c r="E68" s="5">
        <v>18.0</v>
      </c>
      <c r="F68" s="6">
        <f t="shared" ref="F68:F69" si="9">E68/230</f>
        <v>0.07826086957</v>
      </c>
      <c r="G68" s="7">
        <v>6.0</v>
      </c>
      <c r="H68" s="7"/>
      <c r="I68" s="7"/>
      <c r="J68" s="7"/>
      <c r="R68" s="8">
        <f t="shared" si="2"/>
        <v>0</v>
      </c>
    </row>
    <row r="69" ht="15.75" customHeight="1">
      <c r="A69" s="16">
        <v>45977.71527777778</v>
      </c>
      <c r="B69" s="5" t="s">
        <v>25</v>
      </c>
      <c r="C69" s="5" t="s">
        <v>40</v>
      </c>
      <c r="D69" s="5" t="s">
        <v>48</v>
      </c>
      <c r="E69" s="5">
        <v>25.0</v>
      </c>
      <c r="F69" s="6">
        <f t="shared" si="9"/>
        <v>0.1086956522</v>
      </c>
      <c r="G69" s="7">
        <v>8.0</v>
      </c>
      <c r="H69" s="7"/>
      <c r="I69" s="7"/>
      <c r="J69" s="7"/>
      <c r="R69" s="8">
        <f t="shared" si="2"/>
        <v>0</v>
      </c>
    </row>
    <row r="70" ht="15.75" customHeight="1">
      <c r="A70" s="16">
        <v>45982.75902777778</v>
      </c>
      <c r="B70" s="5" t="s">
        <v>83</v>
      </c>
      <c r="C70" s="5" t="s">
        <v>25</v>
      </c>
      <c r="D70" s="5" t="s">
        <v>88</v>
      </c>
      <c r="E70" s="5">
        <v>12.0</v>
      </c>
      <c r="F70" s="6">
        <f>E70/240</f>
        <v>0.05</v>
      </c>
      <c r="G70" s="7">
        <v>4.0</v>
      </c>
      <c r="H70" s="7"/>
      <c r="I70" s="7"/>
      <c r="J70" s="7"/>
      <c r="R70" s="8">
        <f t="shared" si="2"/>
        <v>0</v>
      </c>
    </row>
    <row r="71" ht="15.75" customHeight="1">
      <c r="A71" s="16">
        <v>45984.79861111111</v>
      </c>
      <c r="B71" s="5" t="s">
        <v>25</v>
      </c>
      <c r="C71" s="5" t="s">
        <v>40</v>
      </c>
      <c r="D71" s="5" t="s">
        <v>69</v>
      </c>
      <c r="E71" s="5">
        <v>9.0</v>
      </c>
      <c r="F71" s="6">
        <f t="shared" ref="F71:F81" si="10">E71/230</f>
        <v>0.03913043478</v>
      </c>
      <c r="G71" s="7">
        <v>0.0</v>
      </c>
      <c r="H71" s="7"/>
      <c r="I71" s="7"/>
      <c r="J71" s="7"/>
      <c r="N71" s="5">
        <v>1.0</v>
      </c>
      <c r="R71" s="8">
        <f t="shared" si="2"/>
        <v>1</v>
      </c>
    </row>
    <row r="72" ht="15.75" customHeight="1">
      <c r="A72" s="16">
        <v>45987.68680555555</v>
      </c>
      <c r="B72" s="5" t="s">
        <v>40</v>
      </c>
      <c r="C72" s="5" t="s">
        <v>25</v>
      </c>
      <c r="D72" s="5" t="s">
        <v>68</v>
      </c>
      <c r="E72" s="5">
        <v>42.0</v>
      </c>
      <c r="F72" s="6">
        <f t="shared" si="10"/>
        <v>0.1826086957</v>
      </c>
      <c r="G72" s="7">
        <v>4.0</v>
      </c>
      <c r="H72" s="7"/>
      <c r="I72" s="7"/>
      <c r="J72" s="7"/>
      <c r="R72" s="8">
        <f t="shared" si="2"/>
        <v>0</v>
      </c>
    </row>
    <row r="73" ht="15.75" customHeight="1">
      <c r="A73" s="16">
        <v>45991.79861111111</v>
      </c>
      <c r="B73" s="5" t="s">
        <v>25</v>
      </c>
      <c r="C73" s="5" t="s">
        <v>40</v>
      </c>
      <c r="D73" s="5" t="s">
        <v>69</v>
      </c>
      <c r="E73" s="5">
        <v>12.0</v>
      </c>
      <c r="F73" s="6">
        <f t="shared" si="10"/>
        <v>0.05217391304</v>
      </c>
      <c r="G73" s="7">
        <v>3.0</v>
      </c>
      <c r="H73" s="7"/>
      <c r="I73" s="7"/>
      <c r="J73" s="7"/>
      <c r="R73" s="8">
        <f t="shared" si="2"/>
        <v>0</v>
      </c>
    </row>
    <row r="74" ht="15.75" customHeight="1">
      <c r="A74" s="17">
        <v>45996.52013888889</v>
      </c>
      <c r="B74" s="5" t="s">
        <v>40</v>
      </c>
      <c r="C74" s="5" t="s">
        <v>25</v>
      </c>
      <c r="D74" s="5" t="s">
        <v>46</v>
      </c>
      <c r="E74" s="5">
        <v>7.0</v>
      </c>
      <c r="F74" s="6">
        <f t="shared" si="10"/>
        <v>0.03043478261</v>
      </c>
      <c r="G74" s="7">
        <v>8.0</v>
      </c>
      <c r="H74" s="7"/>
      <c r="I74" s="7"/>
      <c r="J74" s="7"/>
      <c r="R74" s="8">
        <f t="shared" si="2"/>
        <v>0</v>
      </c>
    </row>
    <row r="75" ht="15.75" customHeight="1">
      <c r="A75" s="17">
        <v>45998.79861111111</v>
      </c>
      <c r="B75" s="5" t="s">
        <v>25</v>
      </c>
      <c r="C75" s="5" t="s">
        <v>40</v>
      </c>
      <c r="D75" s="5" t="s">
        <v>69</v>
      </c>
      <c r="E75" s="5">
        <v>18.0</v>
      </c>
      <c r="F75" s="6">
        <f t="shared" si="10"/>
        <v>0.07826086957</v>
      </c>
      <c r="G75" s="7">
        <v>6.0</v>
      </c>
      <c r="H75" s="7"/>
      <c r="I75" s="7"/>
      <c r="J75" s="7"/>
      <c r="R75" s="8">
        <f t="shared" si="2"/>
        <v>0</v>
      </c>
    </row>
    <row r="76" ht="15.75" customHeight="1">
      <c r="A76" s="16">
        <v>46003.52013888889</v>
      </c>
      <c r="B76" s="5" t="s">
        <v>40</v>
      </c>
      <c r="C76" s="5" t="s">
        <v>25</v>
      </c>
      <c r="D76" s="5" t="s">
        <v>30</v>
      </c>
      <c r="E76" s="5">
        <v>6.0</v>
      </c>
      <c r="F76" s="6">
        <f t="shared" si="10"/>
        <v>0.02608695652</v>
      </c>
      <c r="G76" s="7">
        <v>4.0</v>
      </c>
      <c r="H76" s="7"/>
      <c r="I76" s="7"/>
      <c r="J76" s="7"/>
      <c r="R76" s="8">
        <f t="shared" si="2"/>
        <v>0</v>
      </c>
    </row>
    <row r="77" ht="15.75" customHeight="1">
      <c r="A77" s="16">
        <v>46006.54861111111</v>
      </c>
      <c r="B77" s="5" t="s">
        <v>25</v>
      </c>
      <c r="C77" s="5" t="s">
        <v>40</v>
      </c>
      <c r="D77" s="5" t="s">
        <v>89</v>
      </c>
      <c r="E77" s="5">
        <v>13.0</v>
      </c>
      <c r="F77" s="6">
        <f t="shared" si="10"/>
        <v>0.05652173913</v>
      </c>
      <c r="G77" s="7">
        <v>1.0</v>
      </c>
      <c r="H77" s="7"/>
      <c r="I77" s="7"/>
      <c r="J77" s="7"/>
      <c r="R77" s="8">
        <f t="shared" si="2"/>
        <v>0</v>
      </c>
    </row>
    <row r="78" ht="15.75" customHeight="1">
      <c r="A78" s="16">
        <v>46007.603472222225</v>
      </c>
      <c r="B78" s="5" t="s">
        <v>40</v>
      </c>
      <c r="C78" s="5" t="s">
        <v>25</v>
      </c>
      <c r="D78" s="5" t="s">
        <v>52</v>
      </c>
      <c r="E78" s="5">
        <v>-4.0</v>
      </c>
      <c r="F78" s="6">
        <f t="shared" si="10"/>
        <v>-0.01739130435</v>
      </c>
      <c r="G78" s="7">
        <v>1.0</v>
      </c>
      <c r="H78" s="7"/>
      <c r="I78" s="7"/>
      <c r="J78" s="7"/>
      <c r="R78" s="8">
        <f t="shared" si="2"/>
        <v>0</v>
      </c>
    </row>
    <row r="79" ht="15.75" customHeight="1">
      <c r="A79" s="16">
        <v>46010.46527777778</v>
      </c>
      <c r="B79" s="5" t="s">
        <v>25</v>
      </c>
      <c r="C79" s="5" t="s">
        <v>40</v>
      </c>
      <c r="D79" s="5" t="s">
        <v>90</v>
      </c>
      <c r="E79" s="5">
        <v>14.0</v>
      </c>
      <c r="F79" s="6">
        <f t="shared" si="10"/>
        <v>0.06086956522</v>
      </c>
      <c r="G79" s="7">
        <v>6.0</v>
      </c>
      <c r="H79" s="7"/>
      <c r="I79" s="7"/>
      <c r="J79" s="7"/>
      <c r="R79" s="8">
        <f t="shared" si="2"/>
        <v>0</v>
      </c>
    </row>
    <row r="80" ht="15.75" customHeight="1">
      <c r="A80" s="16">
        <v>46010.68680555555</v>
      </c>
      <c r="B80" s="5" t="s">
        <v>40</v>
      </c>
      <c r="C80" s="5" t="s">
        <v>25</v>
      </c>
      <c r="D80" s="5" t="s">
        <v>91</v>
      </c>
      <c r="E80" s="5">
        <v>3.0</v>
      </c>
      <c r="F80" s="6">
        <f t="shared" si="10"/>
        <v>0.01304347826</v>
      </c>
      <c r="G80" s="7">
        <v>6.0</v>
      </c>
      <c r="H80" s="7"/>
      <c r="I80" s="7"/>
      <c r="J80" s="7"/>
      <c r="R80" s="8">
        <f t="shared" si="2"/>
        <v>0</v>
      </c>
    </row>
    <row r="81" ht="15.75" customHeight="1">
      <c r="A81" s="18">
        <v>46027.54861111111</v>
      </c>
      <c r="B81" s="19" t="s">
        <v>25</v>
      </c>
      <c r="C81" s="19" t="s">
        <v>40</v>
      </c>
      <c r="D81" s="19" t="s">
        <v>92</v>
      </c>
      <c r="E81" s="19">
        <v>-1.0</v>
      </c>
      <c r="F81" s="20">
        <f t="shared" si="10"/>
        <v>-0.004347826087</v>
      </c>
      <c r="G81" s="21">
        <v>-2.0</v>
      </c>
      <c r="H81" s="21" t="s">
        <v>93</v>
      </c>
      <c r="I81" s="21">
        <v>10.0</v>
      </c>
      <c r="J81" s="21">
        <v>200.0</v>
      </c>
      <c r="K81" s="19"/>
      <c r="L81" s="22"/>
      <c r="M81" s="22"/>
      <c r="N81" s="22"/>
      <c r="O81" s="22"/>
      <c r="P81" s="22"/>
      <c r="Q81" s="22"/>
      <c r="R81" s="8">
        <f t="shared" si="2"/>
        <v>0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5.75" customHeight="1">
      <c r="A82" s="17">
        <v>46028.592361111114</v>
      </c>
      <c r="B82" s="5" t="s">
        <v>71</v>
      </c>
      <c r="C82" s="5" t="s">
        <v>25</v>
      </c>
      <c r="D82" s="5" t="s">
        <v>52</v>
      </c>
      <c r="E82" s="5">
        <v>25.0</v>
      </c>
      <c r="F82" s="6">
        <f>E82/240</f>
        <v>0.1041666667</v>
      </c>
      <c r="G82" s="7">
        <v>-2.0</v>
      </c>
      <c r="H82" s="7">
        <v>10.0</v>
      </c>
      <c r="I82" s="7">
        <v>10.0</v>
      </c>
      <c r="J82" s="6">
        <f>4*84</f>
        <v>336</v>
      </c>
      <c r="M82" s="5">
        <v>1.0</v>
      </c>
      <c r="R82" s="8">
        <f t="shared" si="2"/>
        <v>1</v>
      </c>
    </row>
    <row r="83" ht="15.75" customHeight="1">
      <c r="A83" s="17">
        <v>46030.71527777778</v>
      </c>
      <c r="B83" s="5" t="s">
        <v>94</v>
      </c>
      <c r="C83" s="5" t="s">
        <v>40</v>
      </c>
      <c r="D83" s="5" t="s">
        <v>95</v>
      </c>
      <c r="E83" s="5">
        <v>24.0</v>
      </c>
      <c r="F83" s="6">
        <f>E83/230</f>
        <v>0.1043478261</v>
      </c>
      <c r="G83" s="7">
        <v>-3.0</v>
      </c>
      <c r="H83" s="7">
        <v>0.0</v>
      </c>
      <c r="I83" s="7">
        <v>3.0</v>
      </c>
      <c r="J83" s="6">
        <f>60*5</f>
        <v>300</v>
      </c>
      <c r="R83" s="8">
        <f t="shared" si="2"/>
        <v>0</v>
      </c>
    </row>
    <row r="84" ht="15.75" customHeight="1">
      <c r="A84" s="17">
        <v>46031.592361111114</v>
      </c>
      <c r="B84" s="5" t="s">
        <v>71</v>
      </c>
      <c r="C84" s="5" t="s">
        <v>25</v>
      </c>
      <c r="D84" s="5" t="s">
        <v>52</v>
      </c>
      <c r="E84" s="5">
        <v>40.0</v>
      </c>
      <c r="F84" s="6">
        <f>E84/240</f>
        <v>0.1666666667</v>
      </c>
      <c r="G84" s="5">
        <v>-4.0</v>
      </c>
      <c r="H84" s="5">
        <v>2.0</v>
      </c>
      <c r="I84" s="5">
        <v>5.0</v>
      </c>
      <c r="J84" s="8">
        <f>7*57</f>
        <v>399</v>
      </c>
      <c r="R84" s="8">
        <f t="shared" si="2"/>
        <v>0</v>
      </c>
    </row>
    <row r="85" ht="15.75" customHeight="1">
      <c r="A85" s="17">
        <v>46041.71527777778</v>
      </c>
      <c r="B85" s="5" t="s">
        <v>25</v>
      </c>
      <c r="C85" s="5" t="s">
        <v>40</v>
      </c>
      <c r="D85" s="5" t="s">
        <v>96</v>
      </c>
      <c r="E85" s="5">
        <v>4.0</v>
      </c>
      <c r="F85" s="6">
        <f>E85/230</f>
        <v>0.01739130435</v>
      </c>
      <c r="G85" s="5">
        <v>-4.0</v>
      </c>
      <c r="H85" s="5">
        <v>0.0</v>
      </c>
      <c r="I85" s="5">
        <v>5.0</v>
      </c>
      <c r="J85" s="8">
        <f>48*5</f>
        <v>240</v>
      </c>
      <c r="R85" s="8">
        <f t="shared" si="2"/>
        <v>0</v>
      </c>
    </row>
    <row r="86" ht="15.75" customHeight="1">
      <c r="A86" s="17">
        <v>46044.35972222222</v>
      </c>
      <c r="B86" s="5" t="s">
        <v>40</v>
      </c>
      <c r="C86" s="5" t="s">
        <v>97</v>
      </c>
      <c r="D86" s="5" t="s">
        <v>98</v>
      </c>
      <c r="E86" s="5">
        <v>2.0</v>
      </c>
      <c r="F86" s="6">
        <f>E86/190</f>
        <v>0.01052631579</v>
      </c>
      <c r="G86" s="5">
        <v>-3.0</v>
      </c>
      <c r="H86" s="5">
        <v>0.0</v>
      </c>
      <c r="I86" s="5">
        <v>5.0</v>
      </c>
      <c r="J86" s="5">
        <v>150.0</v>
      </c>
      <c r="R86" s="8">
        <f t="shared" si="2"/>
        <v>0</v>
      </c>
    </row>
    <row r="87" ht="15.75" customHeight="1">
      <c r="A87" s="17">
        <v>46044.5125</v>
      </c>
      <c r="B87" s="5" t="s">
        <v>97</v>
      </c>
      <c r="C87" s="5" t="s">
        <v>99</v>
      </c>
      <c r="D87" s="5" t="s">
        <v>100</v>
      </c>
      <c r="E87" s="5">
        <v>1.0</v>
      </c>
      <c r="F87" s="6">
        <f>E87/27</f>
        <v>0.03703703704</v>
      </c>
      <c r="G87" s="5">
        <v>-6.0</v>
      </c>
      <c r="H87" s="5">
        <v>0.0</v>
      </c>
      <c r="I87" s="5">
        <v>3.0</v>
      </c>
      <c r="J87" s="5">
        <v>50.0</v>
      </c>
      <c r="R87" s="8">
        <f t="shared" si="2"/>
        <v>0</v>
      </c>
    </row>
    <row r="88" ht="15.75" customHeight="1">
      <c r="A88" s="17">
        <v>46044.611805555556</v>
      </c>
      <c r="B88" s="5" t="s">
        <v>99</v>
      </c>
      <c r="C88" s="5" t="s">
        <v>25</v>
      </c>
      <c r="D88" s="5" t="s">
        <v>101</v>
      </c>
      <c r="E88" s="5">
        <v>4.0</v>
      </c>
      <c r="F88" s="6">
        <f>E88/87</f>
        <v>0.04597701149</v>
      </c>
      <c r="G88" s="5">
        <v>-3.0</v>
      </c>
      <c r="H88" s="5">
        <v>0.0</v>
      </c>
      <c r="I88" s="5">
        <v>8.0</v>
      </c>
      <c r="J88" s="5">
        <v>50.0</v>
      </c>
    </row>
    <row r="89" ht="15.75" customHeight="1">
      <c r="A89" s="23"/>
      <c r="R89" s="8">
        <f t="shared" ref="R89:R107" si="11">K89+M89+N89+O89+P89+Q89</f>
        <v>0</v>
      </c>
    </row>
    <row r="90" ht="15.75" customHeight="1">
      <c r="A90" s="23"/>
      <c r="R90" s="8">
        <f t="shared" si="11"/>
        <v>0</v>
      </c>
    </row>
    <row r="91" ht="15.75" customHeight="1">
      <c r="A91" s="23"/>
      <c r="R91" s="8">
        <f t="shared" si="11"/>
        <v>0</v>
      </c>
    </row>
    <row r="92" ht="15.75" customHeight="1">
      <c r="A92" s="23"/>
      <c r="R92" s="8">
        <f t="shared" si="11"/>
        <v>0</v>
      </c>
    </row>
    <row r="93" ht="15.75" customHeight="1">
      <c r="A93" s="23"/>
      <c r="R93" s="8">
        <f t="shared" si="11"/>
        <v>0</v>
      </c>
    </row>
    <row r="94" ht="15.75" customHeight="1">
      <c r="A94" s="23"/>
      <c r="R94" s="8">
        <f t="shared" si="11"/>
        <v>0</v>
      </c>
    </row>
    <row r="95" ht="15.75" customHeight="1">
      <c r="A95" s="23"/>
      <c r="R95" s="8">
        <f t="shared" si="11"/>
        <v>0</v>
      </c>
    </row>
    <row r="96" ht="15.75" customHeight="1">
      <c r="A96" s="23"/>
      <c r="R96" s="8">
        <f t="shared" si="11"/>
        <v>0</v>
      </c>
    </row>
    <row r="97" ht="15.75" customHeight="1">
      <c r="A97" s="23"/>
      <c r="R97" s="8">
        <f t="shared" si="11"/>
        <v>0</v>
      </c>
    </row>
    <row r="98" ht="15.75" customHeight="1">
      <c r="A98" s="23"/>
      <c r="R98" s="8">
        <f t="shared" si="11"/>
        <v>0</v>
      </c>
    </row>
    <row r="99" ht="15.75" customHeight="1">
      <c r="A99" s="23"/>
      <c r="R99" s="8">
        <f t="shared" si="11"/>
        <v>0</v>
      </c>
    </row>
    <row r="100" ht="15.75" customHeight="1">
      <c r="A100" s="23"/>
      <c r="R100" s="8">
        <f t="shared" si="11"/>
        <v>0</v>
      </c>
    </row>
    <row r="101" ht="15.75" customHeight="1">
      <c r="A101" s="23"/>
      <c r="R101" s="8">
        <f t="shared" si="11"/>
        <v>0</v>
      </c>
    </row>
    <row r="102" ht="15.75" customHeight="1">
      <c r="A102" s="23"/>
      <c r="R102" s="8">
        <f t="shared" si="11"/>
        <v>0</v>
      </c>
    </row>
    <row r="103" ht="15.75" customHeight="1">
      <c r="A103" s="23"/>
      <c r="R103" s="8">
        <f t="shared" si="11"/>
        <v>0</v>
      </c>
    </row>
    <row r="104" ht="15.75" customHeight="1">
      <c r="A104" s="23"/>
      <c r="R104" s="8">
        <f t="shared" si="11"/>
        <v>0</v>
      </c>
    </row>
    <row r="105" ht="15.75" customHeight="1">
      <c r="A105" s="23"/>
      <c r="R105" s="8">
        <f t="shared" si="11"/>
        <v>0</v>
      </c>
    </row>
    <row r="106" ht="15.75" customHeight="1">
      <c r="A106" s="23"/>
      <c r="R106" s="8">
        <f t="shared" si="11"/>
        <v>0</v>
      </c>
    </row>
    <row r="107" ht="15.75" customHeight="1">
      <c r="A107" s="23"/>
      <c r="R107" s="8">
        <f t="shared" si="11"/>
        <v>0</v>
      </c>
    </row>
    <row r="108" ht="15.75" customHeight="1">
      <c r="A108" s="23"/>
    </row>
    <row r="109" ht="15.75" customHeight="1">
      <c r="A109" s="23"/>
    </row>
    <row r="110" ht="15.75" customHeight="1">
      <c r="A110" s="23"/>
    </row>
    <row r="111" ht="15.75" customHeight="1">
      <c r="A111" s="23"/>
    </row>
    <row r="112" ht="15.75" customHeight="1">
      <c r="A112" s="23"/>
    </row>
    <row r="113" ht="15.75" customHeight="1">
      <c r="A113" s="23"/>
    </row>
    <row r="114" ht="15.75" customHeight="1">
      <c r="A114" s="23"/>
    </row>
    <row r="115" ht="15.75" customHeight="1">
      <c r="A115" s="23"/>
    </row>
    <row r="116" ht="15.75" customHeight="1">
      <c r="A116" s="23"/>
    </row>
    <row r="117" ht="15.75" customHeight="1">
      <c r="A117" s="23"/>
    </row>
    <row r="118" ht="15.75" customHeight="1">
      <c r="A118" s="23"/>
    </row>
    <row r="119" ht="15.75" customHeight="1">
      <c r="A119" s="23"/>
    </row>
    <row r="120" ht="15.75" customHeight="1">
      <c r="A120" s="23"/>
    </row>
    <row r="121" ht="15.75" customHeight="1">
      <c r="A121" s="23"/>
    </row>
    <row r="122" ht="15.75" customHeight="1">
      <c r="A122" s="23"/>
    </row>
    <row r="123" ht="15.75" customHeight="1">
      <c r="A123" s="23"/>
    </row>
    <row r="124" ht="15.75" customHeight="1">
      <c r="A124" s="23"/>
    </row>
    <row r="125" ht="15.75" customHeight="1">
      <c r="A125" s="23"/>
    </row>
    <row r="126" ht="15.75" customHeight="1">
      <c r="A126" s="23"/>
    </row>
    <row r="127" ht="15.75" customHeight="1">
      <c r="A127" s="23"/>
    </row>
    <row r="128" ht="15.75" customHeight="1">
      <c r="A128" s="23"/>
    </row>
    <row r="129" ht="15.75" customHeight="1">
      <c r="A129" s="23"/>
    </row>
    <row r="130" ht="15.75" customHeight="1">
      <c r="A130" s="23"/>
    </row>
    <row r="131" ht="15.75" customHeight="1">
      <c r="A131" s="23"/>
    </row>
    <row r="132" ht="15.75" customHeight="1">
      <c r="A132" s="23"/>
    </row>
    <row r="133" ht="15.75" customHeight="1">
      <c r="A133" s="23"/>
    </row>
    <row r="134" ht="15.75" customHeight="1">
      <c r="A134" s="23"/>
    </row>
    <row r="135" ht="15.75" customHeight="1">
      <c r="A135" s="23"/>
    </row>
    <row r="136" ht="15.75" customHeight="1">
      <c r="A136" s="23"/>
    </row>
    <row r="137" ht="15.75" customHeight="1">
      <c r="A137" s="23"/>
    </row>
    <row r="138" ht="15.75" customHeight="1">
      <c r="A138" s="23"/>
    </row>
    <row r="139" ht="15.75" customHeight="1">
      <c r="A139" s="23"/>
    </row>
    <row r="140" ht="15.75" customHeight="1">
      <c r="A140" s="23"/>
    </row>
    <row r="141" ht="15.75" customHeight="1">
      <c r="A141" s="23"/>
    </row>
    <row r="142" ht="15.75" customHeight="1">
      <c r="A142" s="23"/>
    </row>
    <row r="143" ht="15.75" customHeight="1">
      <c r="A143" s="23"/>
    </row>
    <row r="144" ht="15.75" customHeight="1">
      <c r="A144" s="23"/>
    </row>
    <row r="145" ht="15.75" customHeight="1">
      <c r="A145" s="23"/>
    </row>
    <row r="146" ht="15.75" customHeight="1">
      <c r="A146" s="23"/>
    </row>
    <row r="147" ht="15.75" customHeight="1">
      <c r="A147" s="23"/>
    </row>
    <row r="148" ht="15.75" customHeight="1">
      <c r="A148" s="23"/>
    </row>
    <row r="149" ht="15.75" customHeight="1">
      <c r="A149" s="23"/>
    </row>
    <row r="150" ht="15.75" customHeight="1">
      <c r="A150" s="23"/>
    </row>
    <row r="151" ht="15.75" customHeight="1">
      <c r="A151" s="23"/>
    </row>
    <row r="152" ht="15.75" customHeight="1">
      <c r="A152" s="23"/>
    </row>
    <row r="153" ht="15.75" customHeight="1">
      <c r="A153" s="23"/>
    </row>
    <row r="154" ht="15.75" customHeight="1">
      <c r="A154" s="23"/>
    </row>
    <row r="155" ht="15.75" customHeight="1">
      <c r="A155" s="23"/>
    </row>
    <row r="156" ht="15.75" customHeight="1">
      <c r="A156" s="23"/>
    </row>
    <row r="157" ht="15.75" customHeight="1">
      <c r="A157" s="23"/>
    </row>
    <row r="158" ht="15.75" customHeight="1">
      <c r="A158" s="23"/>
    </row>
    <row r="159" ht="15.75" customHeight="1">
      <c r="A159" s="23"/>
    </row>
    <row r="160" ht="15.75" customHeight="1">
      <c r="A160" s="23"/>
    </row>
    <row r="161" ht="15.75" customHeight="1">
      <c r="A161" s="23"/>
    </row>
    <row r="162" ht="15.75" customHeight="1">
      <c r="A162" s="23"/>
    </row>
    <row r="163" ht="15.75" customHeight="1">
      <c r="A163" s="23"/>
    </row>
    <row r="164" ht="15.75" customHeight="1">
      <c r="A164" s="23"/>
    </row>
    <row r="165" ht="15.75" customHeight="1">
      <c r="A165" s="23"/>
    </row>
    <row r="166" ht="15.75" customHeight="1">
      <c r="A166" s="23"/>
    </row>
    <row r="167" ht="15.75" customHeight="1">
      <c r="A167" s="23"/>
    </row>
    <row r="168" ht="15.75" customHeight="1">
      <c r="A168" s="23"/>
    </row>
    <row r="169" ht="15.75" customHeight="1">
      <c r="A169" s="23"/>
    </row>
    <row r="170" ht="15.75" customHeight="1">
      <c r="A170" s="23"/>
    </row>
    <row r="171" ht="15.75" customHeight="1">
      <c r="A171" s="23"/>
    </row>
    <row r="172" ht="15.75" customHeight="1">
      <c r="A172" s="23"/>
    </row>
    <row r="173" ht="15.75" customHeight="1">
      <c r="A173" s="23"/>
    </row>
    <row r="174" ht="15.75" customHeight="1">
      <c r="A174" s="23"/>
    </row>
    <row r="175" ht="15.75" customHeight="1">
      <c r="A175" s="23"/>
    </row>
    <row r="176" ht="15.75" customHeight="1">
      <c r="A176" s="23"/>
    </row>
    <row r="177" ht="15.75" customHeight="1">
      <c r="A177" s="23"/>
    </row>
    <row r="178" ht="15.75" customHeight="1">
      <c r="A178" s="23"/>
    </row>
    <row r="179" ht="15.75" customHeight="1">
      <c r="A179" s="23"/>
    </row>
    <row r="180" ht="15.75" customHeight="1">
      <c r="A180" s="23"/>
    </row>
    <row r="181" ht="15.75" customHeight="1">
      <c r="A181" s="23"/>
    </row>
    <row r="182" ht="15.75" customHeight="1">
      <c r="A182" s="23"/>
    </row>
    <row r="183" ht="15.75" customHeight="1">
      <c r="A183" s="23"/>
    </row>
    <row r="184" ht="15.75" customHeight="1">
      <c r="A184" s="23"/>
    </row>
    <row r="185" ht="15.75" customHeight="1">
      <c r="A185" s="23"/>
    </row>
    <row r="186" ht="15.75" customHeight="1">
      <c r="A186" s="23"/>
    </row>
    <row r="187" ht="15.75" customHeight="1">
      <c r="A187" s="23"/>
    </row>
    <row r="188" ht="15.75" customHeight="1">
      <c r="A188" s="23"/>
    </row>
    <row r="189" ht="15.75" customHeight="1">
      <c r="A189" s="23"/>
    </row>
    <row r="190" ht="15.75" customHeight="1">
      <c r="A190" s="23"/>
    </row>
    <row r="191" ht="15.75" customHeight="1">
      <c r="A191" s="23"/>
    </row>
    <row r="192" ht="15.75" customHeight="1">
      <c r="A192" s="23"/>
    </row>
    <row r="193" ht="15.75" customHeight="1">
      <c r="A193" s="23"/>
    </row>
    <row r="194" ht="15.75" customHeight="1">
      <c r="A194" s="23"/>
    </row>
    <row r="195" ht="15.75" customHeight="1">
      <c r="A195" s="23"/>
    </row>
    <row r="196" ht="15.75" customHeight="1">
      <c r="A196" s="23"/>
    </row>
    <row r="197" ht="15.75" customHeight="1">
      <c r="A197" s="23"/>
    </row>
    <row r="198" ht="15.75" customHeight="1">
      <c r="A198" s="23"/>
    </row>
    <row r="199" ht="15.75" customHeight="1">
      <c r="A199" s="23"/>
    </row>
    <row r="200" ht="15.75" customHeight="1">
      <c r="A200" s="23"/>
    </row>
    <row r="201" ht="15.75" customHeight="1">
      <c r="A201" s="23"/>
    </row>
    <row r="202" ht="15.75" customHeight="1">
      <c r="A202" s="23"/>
    </row>
    <row r="203" ht="15.75" customHeight="1">
      <c r="A203" s="23"/>
    </row>
    <row r="204" ht="15.75" customHeight="1">
      <c r="A204" s="23"/>
    </row>
    <row r="205" ht="15.75" customHeight="1">
      <c r="A205" s="23"/>
    </row>
    <row r="206" ht="15.75" customHeight="1">
      <c r="A206" s="23"/>
    </row>
    <row r="207" ht="15.75" customHeight="1">
      <c r="A207" s="23"/>
    </row>
    <row r="208" ht="15.75" customHeight="1">
      <c r="A208" s="23"/>
    </row>
    <row r="209" ht="15.75" customHeight="1">
      <c r="A209" s="23"/>
    </row>
    <row r="210" ht="15.75" customHeight="1">
      <c r="A210" s="23"/>
    </row>
    <row r="211" ht="15.75" customHeight="1">
      <c r="A211" s="23"/>
    </row>
    <row r="212" ht="15.75" customHeight="1">
      <c r="A212" s="23"/>
    </row>
    <row r="213" ht="15.75" customHeight="1">
      <c r="A213" s="23"/>
    </row>
    <row r="214" ht="15.75" customHeight="1">
      <c r="A214" s="23"/>
    </row>
    <row r="215" ht="15.75" customHeight="1">
      <c r="A215" s="23"/>
    </row>
    <row r="216" ht="15.75" customHeight="1">
      <c r="A216" s="23"/>
    </row>
    <row r="217" ht="15.75" customHeight="1">
      <c r="A217" s="23"/>
    </row>
    <row r="218" ht="15.75" customHeight="1">
      <c r="A218" s="23"/>
    </row>
    <row r="219" ht="15.75" customHeight="1">
      <c r="A219" s="23"/>
    </row>
    <row r="220" ht="15.75" customHeight="1">
      <c r="A220" s="23"/>
    </row>
    <row r="221" ht="15.75" customHeight="1">
      <c r="A221" s="23"/>
    </row>
    <row r="222" ht="15.75" customHeight="1">
      <c r="A222" s="23"/>
    </row>
    <row r="223" ht="15.75" customHeight="1">
      <c r="A223" s="23"/>
    </row>
    <row r="224" ht="15.75" customHeight="1">
      <c r="A224" s="23"/>
    </row>
    <row r="225" ht="15.75" customHeight="1">
      <c r="A225" s="23"/>
    </row>
    <row r="226" ht="15.75" customHeight="1">
      <c r="A226" s="23"/>
    </row>
    <row r="227" ht="15.75" customHeight="1">
      <c r="A227" s="23"/>
    </row>
    <row r="228" ht="15.75" customHeight="1">
      <c r="A228" s="23"/>
    </row>
    <row r="229" ht="15.75" customHeight="1">
      <c r="A229" s="23"/>
    </row>
    <row r="230" ht="15.75" customHeight="1">
      <c r="A230" s="23"/>
    </row>
    <row r="231" ht="15.75" customHeight="1">
      <c r="A231" s="23"/>
    </row>
    <row r="232" ht="15.75" customHeight="1">
      <c r="A232" s="23"/>
    </row>
    <row r="233" ht="15.75" customHeight="1">
      <c r="A233" s="23"/>
    </row>
    <row r="234" ht="15.75" customHeight="1">
      <c r="A234" s="23"/>
    </row>
    <row r="235" ht="15.75" customHeight="1">
      <c r="A235" s="23"/>
    </row>
    <row r="236" ht="15.75" customHeight="1">
      <c r="A236" s="23"/>
    </row>
    <row r="237" ht="15.75" customHeight="1">
      <c r="A237" s="23"/>
    </row>
    <row r="238" ht="15.75" customHeight="1">
      <c r="A238" s="23"/>
    </row>
    <row r="239" ht="15.75" customHeight="1">
      <c r="A239" s="23"/>
    </row>
    <row r="240" ht="15.75" customHeight="1">
      <c r="A240" s="23"/>
    </row>
    <row r="241" ht="15.75" customHeight="1">
      <c r="A241" s="23"/>
    </row>
    <row r="242" ht="15.75" customHeight="1">
      <c r="A242" s="23"/>
    </row>
    <row r="243" ht="15.75" customHeight="1">
      <c r="A243" s="23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>
      <c r="A251" s="23"/>
    </row>
    <row r="252" ht="15.75" customHeight="1">
      <c r="A252" s="23"/>
    </row>
    <row r="253" ht="15.75" customHeight="1">
      <c r="A253" s="23"/>
    </row>
    <row r="254" ht="15.75" customHeight="1">
      <c r="A254" s="23"/>
    </row>
    <row r="255" ht="15.75" customHeight="1">
      <c r="A255" s="23"/>
    </row>
    <row r="256" ht="15.75" customHeight="1">
      <c r="A256" s="23"/>
    </row>
    <row r="257" ht="15.75" customHeight="1">
      <c r="A257" s="23"/>
    </row>
    <row r="258" ht="15.75" customHeight="1">
      <c r="A258" s="23"/>
    </row>
    <row r="259" ht="15.75" customHeight="1">
      <c r="A259" s="23"/>
    </row>
    <row r="260" ht="15.75" customHeight="1">
      <c r="A260" s="23"/>
    </row>
    <row r="261" ht="15.75" customHeight="1">
      <c r="A261" s="23"/>
    </row>
    <row r="262" ht="15.75" customHeight="1">
      <c r="A262" s="23"/>
    </row>
    <row r="263" ht="15.75" customHeight="1">
      <c r="A263" s="23"/>
    </row>
    <row r="264" ht="15.75" customHeight="1">
      <c r="A264" s="23"/>
    </row>
    <row r="265" ht="15.75" customHeight="1">
      <c r="A265" s="23"/>
    </row>
    <row r="266" ht="15.75" customHeight="1">
      <c r="A266" s="23"/>
    </row>
    <row r="267" ht="15.75" customHeight="1">
      <c r="A267" s="23"/>
    </row>
    <row r="268" ht="15.75" customHeight="1">
      <c r="A268" s="23"/>
    </row>
    <row r="269" ht="15.75" customHeight="1">
      <c r="A269" s="23"/>
    </row>
    <row r="270" ht="15.75" customHeight="1">
      <c r="A270" s="23"/>
    </row>
    <row r="271" ht="15.75" customHeight="1">
      <c r="A271" s="23"/>
    </row>
    <row r="272" ht="15.75" customHeight="1">
      <c r="A272" s="23"/>
    </row>
    <row r="273" ht="15.75" customHeight="1">
      <c r="A273" s="23"/>
    </row>
    <row r="274" ht="15.75" customHeight="1">
      <c r="A274" s="23"/>
    </row>
    <row r="275" ht="15.75" customHeight="1">
      <c r="A275" s="23"/>
    </row>
    <row r="276" ht="15.75" customHeight="1">
      <c r="A276" s="23"/>
    </row>
    <row r="277" ht="15.75" customHeight="1">
      <c r="A277" s="23"/>
    </row>
    <row r="278" ht="15.75" customHeight="1">
      <c r="A278" s="23"/>
    </row>
    <row r="279" ht="15.75" customHeight="1">
      <c r="A279" s="23"/>
    </row>
    <row r="280" ht="15.75" customHeight="1">
      <c r="A280" s="23"/>
    </row>
    <row r="281" ht="15.75" customHeight="1">
      <c r="A281" s="23"/>
    </row>
    <row r="282" ht="15.75" customHeight="1">
      <c r="A282" s="23"/>
    </row>
    <row r="283" ht="15.75" customHeight="1">
      <c r="A283" s="23"/>
    </row>
    <row r="284" ht="15.75" customHeight="1">
      <c r="A284" s="23"/>
    </row>
    <row r="285" ht="15.75" customHeight="1">
      <c r="A285" s="23"/>
    </row>
    <row r="286" ht="15.75" customHeight="1">
      <c r="A286" s="23"/>
    </row>
    <row r="287" ht="15.75" customHeight="1">
      <c r="A287" s="23"/>
    </row>
    <row r="288" ht="15.75" customHeight="1">
      <c r="A288" s="23"/>
    </row>
    <row r="289" ht="15.75" customHeight="1">
      <c r="A289" s="23"/>
    </row>
    <row r="290" ht="15.75" customHeight="1">
      <c r="A290" s="23"/>
    </row>
    <row r="291" ht="15.75" customHeight="1">
      <c r="A291" s="23"/>
    </row>
    <row r="292" ht="15.75" customHeight="1">
      <c r="A292" s="23"/>
    </row>
    <row r="293" ht="15.75" customHeight="1">
      <c r="A293" s="23"/>
    </row>
    <row r="294" ht="15.75" customHeight="1">
      <c r="A294" s="23"/>
    </row>
    <row r="295" ht="15.75" customHeight="1">
      <c r="A295" s="23"/>
    </row>
    <row r="296" ht="15.75" customHeight="1">
      <c r="A296" s="23"/>
    </row>
    <row r="297" ht="15.75" customHeight="1">
      <c r="A297" s="23"/>
    </row>
    <row r="298" ht="15.75" customHeight="1">
      <c r="A298" s="23"/>
    </row>
    <row r="299" ht="15.75" customHeight="1">
      <c r="A299" s="23"/>
    </row>
    <row r="300" ht="15.75" customHeight="1">
      <c r="A300" s="23"/>
    </row>
    <row r="301" ht="15.75" customHeight="1">
      <c r="A301" s="23"/>
    </row>
    <row r="302" ht="15.75" customHeight="1">
      <c r="A302" s="23"/>
    </row>
    <row r="303" ht="15.75" customHeight="1">
      <c r="A303" s="23"/>
    </row>
    <row r="304" ht="15.75" customHeight="1">
      <c r="A304" s="23"/>
    </row>
    <row r="305" ht="15.75" customHeight="1">
      <c r="A305" s="23"/>
    </row>
    <row r="306" ht="15.75" customHeight="1">
      <c r="A306" s="23"/>
    </row>
    <row r="307" ht="15.75" customHeight="1">
      <c r="A307" s="23"/>
    </row>
    <row r="308" ht="15.75" customHeight="1">
      <c r="A308" s="23"/>
    </row>
    <row r="309" ht="15.75" customHeight="1">
      <c r="A309" s="23"/>
    </row>
    <row r="310" ht="15.75" customHeight="1">
      <c r="A310" s="23"/>
    </row>
    <row r="311" ht="15.75" customHeight="1">
      <c r="A311" s="23"/>
    </row>
    <row r="312" ht="15.75" customHeight="1">
      <c r="A312" s="23"/>
    </row>
    <row r="313" ht="15.75" customHeight="1">
      <c r="A313" s="23"/>
    </row>
    <row r="314" ht="15.75" customHeight="1">
      <c r="A314" s="23"/>
    </row>
    <row r="315" ht="15.75" customHeight="1">
      <c r="A315" s="23"/>
    </row>
    <row r="316" ht="15.75" customHeight="1">
      <c r="A316" s="23"/>
    </row>
    <row r="317" ht="15.75" customHeight="1">
      <c r="A317" s="23"/>
    </row>
    <row r="318" ht="15.75" customHeight="1">
      <c r="A318" s="23"/>
    </row>
    <row r="319" ht="15.75" customHeight="1">
      <c r="A319" s="23"/>
    </row>
    <row r="320" ht="15.75" customHeight="1">
      <c r="A320" s="23"/>
    </row>
    <row r="321" ht="15.75" customHeight="1">
      <c r="A321" s="23"/>
    </row>
    <row r="322" ht="15.75" customHeight="1">
      <c r="A322" s="23"/>
    </row>
    <row r="323" ht="15.75" customHeight="1">
      <c r="A323" s="23"/>
    </row>
    <row r="324" ht="15.75" customHeight="1">
      <c r="A324" s="23"/>
    </row>
    <row r="325" ht="15.75" customHeight="1">
      <c r="A325" s="23"/>
    </row>
    <row r="326" ht="15.75" customHeight="1">
      <c r="A326" s="23"/>
    </row>
    <row r="327" ht="15.75" customHeight="1">
      <c r="A327" s="23"/>
    </row>
    <row r="328" ht="15.75" customHeight="1">
      <c r="A328" s="23"/>
    </row>
    <row r="329" ht="15.75" customHeight="1">
      <c r="A329" s="23"/>
    </row>
    <row r="330" ht="15.75" customHeight="1">
      <c r="A330" s="23"/>
    </row>
    <row r="331" ht="15.75" customHeight="1">
      <c r="A331" s="23"/>
    </row>
    <row r="332" ht="15.75" customHeight="1">
      <c r="A332" s="23"/>
    </row>
    <row r="333" ht="15.75" customHeight="1">
      <c r="A333" s="23"/>
    </row>
    <row r="334" ht="15.75" customHeight="1">
      <c r="A334" s="23"/>
    </row>
    <row r="335" ht="15.75" customHeight="1">
      <c r="A335" s="23"/>
    </row>
    <row r="336" ht="15.75" customHeight="1">
      <c r="A336" s="23"/>
    </row>
    <row r="337" ht="15.75" customHeight="1">
      <c r="A337" s="23"/>
    </row>
    <row r="338" ht="15.75" customHeight="1">
      <c r="A338" s="23"/>
    </row>
    <row r="339" ht="15.75" customHeight="1">
      <c r="A339" s="23"/>
    </row>
    <row r="340" ht="15.75" customHeight="1">
      <c r="A340" s="23"/>
    </row>
    <row r="341" ht="15.75" customHeight="1">
      <c r="A341" s="23"/>
    </row>
    <row r="342" ht="15.75" customHeight="1">
      <c r="A342" s="23"/>
    </row>
    <row r="343" ht="15.75" customHeight="1">
      <c r="A343" s="23"/>
    </row>
    <row r="344" ht="15.75" customHeight="1">
      <c r="A344" s="23"/>
    </row>
    <row r="345" ht="15.75" customHeight="1">
      <c r="A345" s="23"/>
    </row>
    <row r="346" ht="15.75" customHeight="1">
      <c r="A346" s="23"/>
    </row>
    <row r="347" ht="15.75" customHeight="1">
      <c r="A347" s="23"/>
    </row>
    <row r="348" ht="15.75" customHeight="1">
      <c r="A348" s="23"/>
    </row>
    <row r="349" ht="15.75" customHeight="1">
      <c r="A349" s="23"/>
    </row>
    <row r="350" ht="15.75" customHeight="1">
      <c r="A350" s="23"/>
    </row>
    <row r="351" ht="15.75" customHeight="1">
      <c r="A351" s="23"/>
    </row>
    <row r="352" ht="15.75" customHeight="1">
      <c r="A352" s="23"/>
    </row>
    <row r="353" ht="15.75" customHeight="1">
      <c r="A353" s="23"/>
    </row>
    <row r="354" ht="15.75" customHeight="1">
      <c r="A354" s="23"/>
    </row>
    <row r="355" ht="15.75" customHeight="1">
      <c r="A355" s="23"/>
    </row>
    <row r="356" ht="15.75" customHeight="1">
      <c r="A356" s="23"/>
    </row>
    <row r="357" ht="15.75" customHeight="1">
      <c r="A357" s="23"/>
    </row>
    <row r="358" ht="15.75" customHeight="1">
      <c r="A358" s="23"/>
    </row>
    <row r="359" ht="15.75" customHeight="1">
      <c r="A359" s="23"/>
    </row>
    <row r="360" ht="15.75" customHeight="1">
      <c r="A360" s="23"/>
    </row>
    <row r="361" ht="15.75" customHeight="1">
      <c r="A361" s="23"/>
    </row>
    <row r="362" ht="15.75" customHeight="1">
      <c r="A362" s="23"/>
    </row>
    <row r="363" ht="15.75" customHeight="1">
      <c r="A363" s="23"/>
    </row>
    <row r="364" ht="15.75" customHeight="1">
      <c r="A364" s="23"/>
    </row>
    <row r="365" ht="15.75" customHeight="1">
      <c r="A365" s="23"/>
    </row>
    <row r="366" ht="15.75" customHeight="1">
      <c r="A366" s="23"/>
    </row>
    <row r="367" ht="15.75" customHeight="1">
      <c r="A367" s="23"/>
    </row>
    <row r="368" ht="15.75" customHeight="1">
      <c r="A368" s="23"/>
    </row>
    <row r="369" ht="15.75" customHeight="1">
      <c r="A369" s="23"/>
    </row>
    <row r="370" ht="15.75" customHeight="1">
      <c r="A370" s="23"/>
    </row>
    <row r="371" ht="15.75" customHeight="1">
      <c r="A371" s="23"/>
    </row>
    <row r="372" ht="15.75" customHeight="1">
      <c r="A372" s="23"/>
    </row>
    <row r="373" ht="15.75" customHeight="1">
      <c r="A373" s="23"/>
    </row>
    <row r="374" ht="15.75" customHeight="1">
      <c r="A374" s="23"/>
    </row>
    <row r="375" ht="15.75" customHeight="1">
      <c r="A375" s="23"/>
    </row>
    <row r="376" ht="15.75" customHeight="1">
      <c r="A376" s="23"/>
    </row>
    <row r="377" ht="15.75" customHeight="1">
      <c r="A377" s="23"/>
    </row>
    <row r="378" ht="15.75" customHeight="1">
      <c r="A378" s="23"/>
    </row>
    <row r="379" ht="15.75" customHeight="1">
      <c r="A379" s="23"/>
    </row>
    <row r="380" ht="15.75" customHeight="1">
      <c r="A380" s="23"/>
    </row>
    <row r="381" ht="15.75" customHeight="1">
      <c r="A381" s="23"/>
    </row>
    <row r="382" ht="15.75" customHeight="1">
      <c r="A382" s="23"/>
    </row>
    <row r="383" ht="15.75" customHeight="1">
      <c r="A383" s="23"/>
    </row>
    <row r="384" ht="15.75" customHeight="1">
      <c r="A384" s="23"/>
    </row>
    <row r="385" ht="15.75" customHeight="1">
      <c r="A385" s="23"/>
    </row>
    <row r="386" ht="15.75" customHeight="1">
      <c r="A386" s="23"/>
    </row>
    <row r="387" ht="15.75" customHeight="1">
      <c r="A387" s="23"/>
    </row>
    <row r="388" ht="15.75" customHeight="1">
      <c r="A388" s="23"/>
    </row>
    <row r="389" ht="15.75" customHeight="1">
      <c r="A389" s="23"/>
    </row>
    <row r="390" ht="15.75" customHeight="1">
      <c r="A390" s="23"/>
    </row>
    <row r="391" ht="15.75" customHeight="1">
      <c r="A391" s="23"/>
    </row>
    <row r="392" ht="15.75" customHeight="1">
      <c r="A392" s="23"/>
    </row>
    <row r="393" ht="15.75" customHeight="1">
      <c r="A393" s="23"/>
    </row>
    <row r="394" ht="15.75" customHeight="1">
      <c r="A394" s="23"/>
    </row>
    <row r="395" ht="15.75" customHeight="1">
      <c r="A395" s="23"/>
    </row>
    <row r="396" ht="15.75" customHeight="1">
      <c r="A396" s="23"/>
    </row>
    <row r="397" ht="15.75" customHeight="1">
      <c r="A397" s="23"/>
    </row>
    <row r="398" ht="15.75" customHeight="1">
      <c r="A398" s="23"/>
    </row>
    <row r="399" ht="15.75" customHeight="1">
      <c r="A399" s="23"/>
    </row>
    <row r="400" ht="15.75" customHeight="1">
      <c r="A400" s="23"/>
    </row>
    <row r="401" ht="15.75" customHeight="1">
      <c r="A401" s="23"/>
    </row>
    <row r="402" ht="15.75" customHeight="1">
      <c r="A402" s="23"/>
    </row>
    <row r="403" ht="15.75" customHeight="1">
      <c r="A403" s="23"/>
    </row>
    <row r="404" ht="15.75" customHeight="1">
      <c r="A404" s="23"/>
    </row>
    <row r="405" ht="15.75" customHeight="1">
      <c r="A405" s="23"/>
    </row>
    <row r="406" ht="15.75" customHeight="1">
      <c r="A406" s="23"/>
    </row>
    <row r="407" ht="15.75" customHeight="1">
      <c r="A407" s="23"/>
    </row>
    <row r="408" ht="15.75" customHeight="1">
      <c r="A408" s="23"/>
    </row>
    <row r="409" ht="15.75" customHeight="1">
      <c r="A409" s="23"/>
    </row>
    <row r="410" ht="15.75" customHeight="1">
      <c r="A410" s="23"/>
    </row>
    <row r="411" ht="15.75" customHeight="1">
      <c r="A411" s="23"/>
    </row>
    <row r="412" ht="15.75" customHeight="1">
      <c r="A412" s="23"/>
    </row>
    <row r="413" ht="15.75" customHeight="1">
      <c r="A413" s="23"/>
    </row>
    <row r="414" ht="15.75" customHeight="1">
      <c r="A414" s="23"/>
    </row>
    <row r="415" ht="15.75" customHeight="1">
      <c r="A415" s="23"/>
    </row>
    <row r="416" ht="15.75" customHeight="1">
      <c r="A416" s="23"/>
    </row>
    <row r="417" ht="15.75" customHeight="1">
      <c r="A417" s="23"/>
    </row>
    <row r="418" ht="15.75" customHeight="1">
      <c r="A418" s="23"/>
    </row>
    <row r="419" ht="15.75" customHeight="1">
      <c r="A419" s="23"/>
    </row>
    <row r="420" ht="15.75" customHeight="1">
      <c r="A420" s="23"/>
    </row>
    <row r="421" ht="15.75" customHeight="1">
      <c r="A421" s="23"/>
    </row>
    <row r="422" ht="15.75" customHeight="1">
      <c r="A422" s="23"/>
    </row>
    <row r="423" ht="15.75" customHeight="1">
      <c r="A423" s="23"/>
    </row>
    <row r="424" ht="15.75" customHeight="1">
      <c r="A424" s="23"/>
    </row>
    <row r="425" ht="15.75" customHeight="1">
      <c r="A425" s="23"/>
    </row>
    <row r="426" ht="15.75" customHeight="1">
      <c r="A426" s="23"/>
    </row>
    <row r="427" ht="15.75" customHeight="1">
      <c r="A427" s="23"/>
    </row>
    <row r="428" ht="15.75" customHeight="1">
      <c r="A428" s="23"/>
    </row>
    <row r="429" ht="15.75" customHeight="1">
      <c r="A429" s="23"/>
    </row>
    <row r="430" ht="15.75" customHeight="1">
      <c r="A430" s="23"/>
    </row>
    <row r="431" ht="15.75" customHeight="1">
      <c r="A431" s="23"/>
    </row>
    <row r="432" ht="15.75" customHeight="1">
      <c r="A432" s="23"/>
    </row>
    <row r="433" ht="15.75" customHeight="1">
      <c r="A433" s="23"/>
    </row>
    <row r="434" ht="15.75" customHeight="1">
      <c r="A434" s="23"/>
    </row>
    <row r="435" ht="15.75" customHeight="1">
      <c r="A435" s="23"/>
    </row>
    <row r="436" ht="15.75" customHeight="1">
      <c r="A436" s="23"/>
    </row>
    <row r="437" ht="15.75" customHeight="1">
      <c r="A437" s="23"/>
    </row>
    <row r="438" ht="15.75" customHeight="1">
      <c r="A438" s="23"/>
    </row>
    <row r="439" ht="15.75" customHeight="1">
      <c r="A439" s="23"/>
    </row>
    <row r="440" ht="15.75" customHeight="1">
      <c r="A440" s="23"/>
    </row>
    <row r="441" ht="15.75" customHeight="1">
      <c r="A441" s="23"/>
    </row>
    <row r="442" ht="15.75" customHeight="1">
      <c r="A442" s="23"/>
    </row>
    <row r="443" ht="15.75" customHeight="1">
      <c r="A443" s="23"/>
    </row>
    <row r="444" ht="15.75" customHeight="1">
      <c r="A444" s="23"/>
    </row>
    <row r="445" ht="15.75" customHeight="1">
      <c r="A445" s="23"/>
    </row>
    <row r="446" ht="15.75" customHeight="1">
      <c r="A446" s="23"/>
    </row>
    <row r="447" ht="15.75" customHeight="1">
      <c r="A447" s="23"/>
    </row>
    <row r="448" ht="15.75" customHeight="1">
      <c r="A448" s="23"/>
    </row>
    <row r="449" ht="15.75" customHeight="1">
      <c r="A449" s="23"/>
    </row>
    <row r="450" ht="15.75" customHeight="1">
      <c r="A450" s="23"/>
    </row>
    <row r="451" ht="15.75" customHeight="1">
      <c r="A451" s="23"/>
    </row>
    <row r="452" ht="15.75" customHeight="1">
      <c r="A452" s="23"/>
    </row>
    <row r="453" ht="15.75" customHeight="1">
      <c r="A453" s="23"/>
    </row>
    <row r="454" ht="15.75" customHeight="1">
      <c r="A454" s="23"/>
    </row>
    <row r="455" ht="15.75" customHeight="1">
      <c r="A455" s="23"/>
    </row>
    <row r="456" ht="15.75" customHeight="1">
      <c r="A456" s="23"/>
    </row>
    <row r="457" ht="15.75" customHeight="1">
      <c r="A457" s="23"/>
    </row>
    <row r="458" ht="15.75" customHeight="1">
      <c r="A458" s="23"/>
    </row>
    <row r="459" ht="15.75" customHeight="1">
      <c r="A459" s="23"/>
    </row>
    <row r="460" ht="15.75" customHeight="1">
      <c r="A460" s="23"/>
    </row>
    <row r="461" ht="15.75" customHeight="1">
      <c r="A461" s="23"/>
    </row>
    <row r="462" ht="15.75" customHeight="1">
      <c r="A462" s="23"/>
    </row>
    <row r="463" ht="15.75" customHeight="1">
      <c r="A463" s="23"/>
    </row>
    <row r="464" ht="15.75" customHeight="1">
      <c r="A464" s="23"/>
    </row>
    <row r="465" ht="15.75" customHeight="1">
      <c r="A465" s="23"/>
    </row>
    <row r="466" ht="15.75" customHeight="1">
      <c r="A466" s="23"/>
    </row>
    <row r="467" ht="15.75" customHeight="1">
      <c r="A467" s="23"/>
    </row>
    <row r="468" ht="15.75" customHeight="1">
      <c r="A468" s="23"/>
    </row>
    <row r="469" ht="15.75" customHeight="1">
      <c r="A469" s="23"/>
    </row>
    <row r="470" ht="15.75" customHeight="1">
      <c r="A470" s="23"/>
    </row>
    <row r="471" ht="15.75" customHeight="1">
      <c r="A471" s="23"/>
    </row>
    <row r="472" ht="15.75" customHeight="1">
      <c r="A472" s="23"/>
    </row>
    <row r="473" ht="15.75" customHeight="1">
      <c r="A473" s="23"/>
    </row>
    <row r="474" ht="15.75" customHeight="1">
      <c r="A474" s="23"/>
    </row>
    <row r="475" ht="15.75" customHeight="1">
      <c r="A475" s="23"/>
    </row>
    <row r="476" ht="15.75" customHeight="1">
      <c r="A476" s="23"/>
    </row>
    <row r="477" ht="15.75" customHeight="1">
      <c r="A477" s="23"/>
    </row>
    <row r="478" ht="15.75" customHeight="1">
      <c r="A478" s="23"/>
    </row>
    <row r="479" ht="15.75" customHeight="1">
      <c r="A479" s="23"/>
    </row>
    <row r="480" ht="15.75" customHeight="1">
      <c r="A480" s="23"/>
    </row>
    <row r="481" ht="15.75" customHeight="1">
      <c r="A481" s="23"/>
    </row>
    <row r="482" ht="15.75" customHeight="1">
      <c r="A482" s="23"/>
    </row>
    <row r="483" ht="15.75" customHeight="1">
      <c r="A483" s="23"/>
    </row>
    <row r="484" ht="15.75" customHeight="1">
      <c r="A484" s="23"/>
    </row>
    <row r="485" ht="15.75" customHeight="1">
      <c r="A485" s="23"/>
    </row>
    <row r="486" ht="15.75" customHeight="1">
      <c r="A486" s="23"/>
    </row>
    <row r="487" ht="15.75" customHeight="1">
      <c r="A487" s="23"/>
    </row>
    <row r="488" ht="15.75" customHeight="1">
      <c r="A488" s="23"/>
    </row>
    <row r="489" ht="15.75" customHeight="1">
      <c r="A489" s="23"/>
    </row>
    <row r="490" ht="15.75" customHeight="1">
      <c r="A490" s="23"/>
    </row>
    <row r="491" ht="15.75" customHeight="1">
      <c r="A491" s="23"/>
    </row>
    <row r="492" ht="15.75" customHeight="1">
      <c r="A492" s="23"/>
    </row>
    <row r="493" ht="15.75" customHeight="1">
      <c r="A493" s="23"/>
    </row>
    <row r="494" ht="15.75" customHeight="1">
      <c r="A494" s="23"/>
    </row>
    <row r="495" ht="15.75" customHeight="1">
      <c r="A495" s="23"/>
    </row>
    <row r="496" ht="15.75" customHeight="1">
      <c r="A496" s="23"/>
    </row>
    <row r="497" ht="15.75" customHeight="1">
      <c r="A497" s="23"/>
    </row>
    <row r="498" ht="15.75" customHeight="1">
      <c r="A498" s="23"/>
    </row>
    <row r="499" ht="15.75" customHeight="1">
      <c r="A499" s="23"/>
    </row>
    <row r="500" ht="15.75" customHeight="1">
      <c r="A500" s="23"/>
    </row>
    <row r="501" ht="15.75" customHeight="1">
      <c r="A501" s="23"/>
    </row>
    <row r="502" ht="15.75" customHeight="1">
      <c r="A502" s="23"/>
    </row>
    <row r="503" ht="15.75" customHeight="1">
      <c r="A503" s="23"/>
    </row>
    <row r="504" ht="15.75" customHeight="1">
      <c r="A504" s="23"/>
    </row>
    <row r="505" ht="15.75" customHeight="1">
      <c r="A505" s="23"/>
    </row>
    <row r="506" ht="15.75" customHeight="1">
      <c r="A506" s="23"/>
    </row>
    <row r="507" ht="15.75" customHeight="1">
      <c r="A507" s="23"/>
    </row>
    <row r="508" ht="15.75" customHeight="1">
      <c r="A508" s="23"/>
    </row>
    <row r="509" ht="15.75" customHeight="1">
      <c r="A509" s="23"/>
    </row>
    <row r="510" ht="15.75" customHeight="1">
      <c r="A510" s="23"/>
    </row>
    <row r="511" ht="15.75" customHeight="1">
      <c r="A511" s="23"/>
    </row>
    <row r="512" ht="15.75" customHeight="1">
      <c r="A512" s="23"/>
    </row>
    <row r="513" ht="15.75" customHeight="1">
      <c r="A513" s="23"/>
    </row>
    <row r="514" ht="15.75" customHeight="1">
      <c r="A514" s="23"/>
    </row>
    <row r="515" ht="15.75" customHeight="1">
      <c r="A515" s="23"/>
    </row>
    <row r="516" ht="15.75" customHeight="1">
      <c r="A516" s="23"/>
    </row>
    <row r="517" ht="15.75" customHeight="1">
      <c r="A517" s="23"/>
    </row>
    <row r="518" ht="15.75" customHeight="1">
      <c r="A518" s="23"/>
    </row>
    <row r="519" ht="15.75" customHeight="1">
      <c r="A519" s="23"/>
    </row>
    <row r="520" ht="15.75" customHeight="1">
      <c r="A520" s="23"/>
    </row>
    <row r="521" ht="15.75" customHeight="1">
      <c r="A521" s="23"/>
    </row>
    <row r="522" ht="15.75" customHeight="1">
      <c r="A522" s="23"/>
    </row>
    <row r="523" ht="15.75" customHeight="1">
      <c r="A523" s="23"/>
    </row>
    <row r="524" ht="15.75" customHeight="1">
      <c r="A524" s="23"/>
    </row>
    <row r="525" ht="15.75" customHeight="1">
      <c r="A525" s="23"/>
    </row>
    <row r="526" ht="15.75" customHeight="1">
      <c r="A526" s="23"/>
    </row>
    <row r="527" ht="15.75" customHeight="1">
      <c r="A527" s="23"/>
    </row>
    <row r="528" ht="15.75" customHeight="1">
      <c r="A528" s="23"/>
    </row>
    <row r="529" ht="15.75" customHeight="1">
      <c r="A529" s="23"/>
    </row>
    <row r="530" ht="15.75" customHeight="1">
      <c r="A530" s="23"/>
    </row>
    <row r="531" ht="15.75" customHeight="1">
      <c r="A531" s="23"/>
    </row>
    <row r="532" ht="15.75" customHeight="1">
      <c r="A532" s="23"/>
    </row>
    <row r="533" ht="15.75" customHeight="1">
      <c r="A533" s="23"/>
    </row>
    <row r="534" ht="15.75" customHeight="1">
      <c r="A534" s="23"/>
    </row>
    <row r="535" ht="15.75" customHeight="1">
      <c r="A535" s="23"/>
    </row>
    <row r="536" ht="15.75" customHeight="1">
      <c r="A536" s="23"/>
    </row>
    <row r="537" ht="15.75" customHeight="1">
      <c r="A537" s="23"/>
    </row>
    <row r="538" ht="15.75" customHeight="1">
      <c r="A538" s="23"/>
    </row>
    <row r="539" ht="15.75" customHeight="1">
      <c r="A539" s="23"/>
    </row>
    <row r="540" ht="15.75" customHeight="1">
      <c r="A540" s="23"/>
    </row>
    <row r="541" ht="15.75" customHeight="1">
      <c r="A541" s="23"/>
    </row>
    <row r="542" ht="15.75" customHeight="1">
      <c r="A542" s="23"/>
    </row>
    <row r="543" ht="15.75" customHeight="1">
      <c r="A543" s="23"/>
    </row>
    <row r="544" ht="15.75" customHeight="1">
      <c r="A544" s="23"/>
    </row>
    <row r="545" ht="15.75" customHeight="1">
      <c r="A545" s="23"/>
    </row>
    <row r="546" ht="15.75" customHeight="1">
      <c r="A546" s="23"/>
    </row>
    <row r="547" ht="15.75" customHeight="1">
      <c r="A547" s="23"/>
    </row>
    <row r="548" ht="15.75" customHeight="1">
      <c r="A548" s="23"/>
    </row>
    <row r="549" ht="15.75" customHeight="1">
      <c r="A549" s="23"/>
    </row>
    <row r="550" ht="15.75" customHeight="1">
      <c r="A550" s="23"/>
    </row>
    <row r="551" ht="15.75" customHeight="1">
      <c r="A551" s="23"/>
    </row>
    <row r="552" ht="15.75" customHeight="1">
      <c r="A552" s="23"/>
    </row>
    <row r="553" ht="15.75" customHeight="1">
      <c r="A553" s="23"/>
    </row>
    <row r="554" ht="15.75" customHeight="1">
      <c r="A554" s="23"/>
    </row>
    <row r="555" ht="15.75" customHeight="1">
      <c r="A555" s="23"/>
    </row>
    <row r="556" ht="15.75" customHeight="1">
      <c r="A556" s="23"/>
    </row>
    <row r="557" ht="15.75" customHeight="1">
      <c r="A557" s="23"/>
    </row>
    <row r="558" ht="15.75" customHeight="1">
      <c r="A558" s="23"/>
    </row>
    <row r="559" ht="15.75" customHeight="1">
      <c r="A559" s="23"/>
    </row>
    <row r="560" ht="15.75" customHeight="1">
      <c r="A560" s="23"/>
    </row>
    <row r="561" ht="15.75" customHeight="1">
      <c r="A561" s="23"/>
    </row>
    <row r="562" ht="15.75" customHeight="1">
      <c r="A562" s="23"/>
    </row>
    <row r="563" ht="15.75" customHeight="1">
      <c r="A563" s="23"/>
    </row>
    <row r="564" ht="15.75" customHeight="1">
      <c r="A564" s="23"/>
    </row>
    <row r="565" ht="15.75" customHeight="1">
      <c r="A565" s="23"/>
    </row>
    <row r="566" ht="15.75" customHeight="1">
      <c r="A566" s="23"/>
    </row>
    <row r="567" ht="15.75" customHeight="1">
      <c r="A567" s="23"/>
    </row>
    <row r="568" ht="15.75" customHeight="1">
      <c r="A568" s="23"/>
    </row>
    <row r="569" ht="15.75" customHeight="1">
      <c r="A569" s="23"/>
    </row>
    <row r="570" ht="15.75" customHeight="1">
      <c r="A570" s="23"/>
    </row>
    <row r="571" ht="15.75" customHeight="1">
      <c r="A571" s="23"/>
    </row>
    <row r="572" ht="15.75" customHeight="1">
      <c r="A572" s="23"/>
    </row>
    <row r="573" ht="15.75" customHeight="1">
      <c r="A573" s="23"/>
    </row>
    <row r="574" ht="15.75" customHeight="1">
      <c r="A574" s="23"/>
    </row>
    <row r="575" ht="15.75" customHeight="1">
      <c r="A575" s="23"/>
    </row>
    <row r="576" ht="15.75" customHeight="1">
      <c r="A576" s="23"/>
    </row>
    <row r="577" ht="15.75" customHeight="1">
      <c r="A577" s="23"/>
    </row>
    <row r="578" ht="15.75" customHeight="1">
      <c r="A578" s="23"/>
    </row>
    <row r="579" ht="15.75" customHeight="1">
      <c r="A579" s="23"/>
    </row>
    <row r="580" ht="15.75" customHeight="1">
      <c r="A580" s="23"/>
    </row>
    <row r="581" ht="15.75" customHeight="1">
      <c r="A581" s="23"/>
    </row>
    <row r="582" ht="15.75" customHeight="1">
      <c r="A582" s="23"/>
    </row>
    <row r="583" ht="15.75" customHeight="1">
      <c r="A583" s="23"/>
    </row>
    <row r="584" ht="15.75" customHeight="1">
      <c r="A584" s="23"/>
    </row>
    <row r="585" ht="15.75" customHeight="1">
      <c r="A585" s="23"/>
    </row>
    <row r="586" ht="15.75" customHeight="1">
      <c r="A586" s="23"/>
    </row>
    <row r="587" ht="15.75" customHeight="1">
      <c r="A587" s="23"/>
    </row>
    <row r="588" ht="15.75" customHeight="1">
      <c r="A588" s="23"/>
    </row>
    <row r="589" ht="15.75" customHeight="1">
      <c r="A589" s="23"/>
    </row>
    <row r="590" ht="15.75" customHeight="1">
      <c r="A590" s="23"/>
    </row>
    <row r="591" ht="15.75" customHeight="1">
      <c r="A591" s="23"/>
    </row>
    <row r="592" ht="15.75" customHeight="1">
      <c r="A592" s="23"/>
    </row>
    <row r="593" ht="15.75" customHeight="1">
      <c r="A593" s="23"/>
    </row>
    <row r="594" ht="15.75" customHeight="1">
      <c r="A594" s="23"/>
    </row>
    <row r="595" ht="15.75" customHeight="1">
      <c r="A595" s="23"/>
    </row>
    <row r="596" ht="15.75" customHeight="1">
      <c r="A596" s="23"/>
    </row>
    <row r="597" ht="15.75" customHeight="1">
      <c r="A597" s="23"/>
    </row>
    <row r="598" ht="15.75" customHeight="1">
      <c r="A598" s="23"/>
    </row>
    <row r="599" ht="15.75" customHeight="1">
      <c r="A599" s="23"/>
    </row>
    <row r="600" ht="15.75" customHeight="1">
      <c r="A600" s="23"/>
    </row>
    <row r="601" ht="15.75" customHeight="1">
      <c r="A601" s="23"/>
    </row>
    <row r="602" ht="15.75" customHeight="1">
      <c r="A602" s="23"/>
    </row>
    <row r="603" ht="15.75" customHeight="1">
      <c r="A603" s="23"/>
    </row>
    <row r="604" ht="15.75" customHeight="1">
      <c r="A604" s="23"/>
    </row>
    <row r="605" ht="15.75" customHeight="1">
      <c r="A605" s="23"/>
    </row>
    <row r="606" ht="15.75" customHeight="1">
      <c r="A606" s="23"/>
    </row>
    <row r="607" ht="15.75" customHeight="1">
      <c r="A607" s="23"/>
    </row>
    <row r="608" ht="15.75" customHeight="1">
      <c r="A608" s="23"/>
    </row>
    <row r="609" ht="15.75" customHeight="1">
      <c r="A609" s="23"/>
    </row>
    <row r="610" ht="15.75" customHeight="1">
      <c r="A610" s="23"/>
    </row>
    <row r="611" ht="15.75" customHeight="1">
      <c r="A611" s="23"/>
    </row>
    <row r="612" ht="15.75" customHeight="1">
      <c r="A612" s="23"/>
    </row>
    <row r="613" ht="15.75" customHeight="1">
      <c r="A613" s="23"/>
    </row>
    <row r="614" ht="15.75" customHeight="1">
      <c r="A614" s="23"/>
    </row>
    <row r="615" ht="15.75" customHeight="1">
      <c r="A615" s="23"/>
    </row>
    <row r="616" ht="15.75" customHeight="1">
      <c r="A616" s="23"/>
    </row>
    <row r="617" ht="15.75" customHeight="1">
      <c r="A617" s="23"/>
    </row>
    <row r="618" ht="15.75" customHeight="1">
      <c r="A618" s="23"/>
    </row>
    <row r="619" ht="15.75" customHeight="1">
      <c r="A619" s="23"/>
    </row>
    <row r="620" ht="15.75" customHeight="1">
      <c r="A620" s="23"/>
    </row>
    <row r="621" ht="15.75" customHeight="1">
      <c r="A621" s="23"/>
    </row>
    <row r="622" ht="15.75" customHeight="1">
      <c r="A622" s="23"/>
    </row>
    <row r="623" ht="15.75" customHeight="1">
      <c r="A623" s="23"/>
    </row>
    <row r="624" ht="15.75" customHeight="1">
      <c r="A624" s="23"/>
    </row>
    <row r="625" ht="15.75" customHeight="1">
      <c r="A625" s="23"/>
    </row>
    <row r="626" ht="15.75" customHeight="1">
      <c r="A626" s="23"/>
    </row>
    <row r="627" ht="15.75" customHeight="1">
      <c r="A627" s="23"/>
    </row>
    <row r="628" ht="15.75" customHeight="1">
      <c r="A628" s="23"/>
    </row>
    <row r="629" ht="15.75" customHeight="1">
      <c r="A629" s="23"/>
    </row>
    <row r="630" ht="15.75" customHeight="1">
      <c r="A630" s="23"/>
    </row>
    <row r="631" ht="15.75" customHeight="1">
      <c r="A631" s="23"/>
    </row>
    <row r="632" ht="15.75" customHeight="1">
      <c r="A632" s="23"/>
    </row>
    <row r="633" ht="15.75" customHeight="1">
      <c r="A633" s="23"/>
    </row>
    <row r="634" ht="15.75" customHeight="1">
      <c r="A634" s="23"/>
    </row>
    <row r="635" ht="15.75" customHeight="1">
      <c r="A635" s="23"/>
    </row>
    <row r="636" ht="15.75" customHeight="1">
      <c r="A636" s="23"/>
    </row>
    <row r="637" ht="15.75" customHeight="1">
      <c r="A637" s="23"/>
    </row>
    <row r="638" ht="15.75" customHeight="1">
      <c r="A638" s="23"/>
    </row>
    <row r="639" ht="15.75" customHeight="1">
      <c r="A639" s="23"/>
    </row>
    <row r="640" ht="15.75" customHeight="1">
      <c r="A640" s="23"/>
    </row>
    <row r="641" ht="15.75" customHeight="1">
      <c r="A641" s="23"/>
    </row>
    <row r="642" ht="15.75" customHeight="1">
      <c r="A642" s="23"/>
    </row>
    <row r="643" ht="15.75" customHeight="1">
      <c r="A643" s="23"/>
    </row>
    <row r="644" ht="15.75" customHeight="1">
      <c r="A644" s="23"/>
    </row>
    <row r="645" ht="15.75" customHeight="1">
      <c r="A645" s="23"/>
    </row>
    <row r="646" ht="15.75" customHeight="1">
      <c r="A646" s="23"/>
    </row>
    <row r="647" ht="15.75" customHeight="1">
      <c r="A647" s="23"/>
    </row>
    <row r="648" ht="15.75" customHeight="1">
      <c r="A648" s="23"/>
    </row>
    <row r="649" ht="15.75" customHeight="1">
      <c r="A649" s="23"/>
    </row>
    <row r="650" ht="15.75" customHeight="1">
      <c r="A650" s="23"/>
    </row>
    <row r="651" ht="15.75" customHeight="1">
      <c r="A651" s="23"/>
    </row>
    <row r="652" ht="15.75" customHeight="1">
      <c r="A652" s="23"/>
    </row>
    <row r="653" ht="15.75" customHeight="1">
      <c r="A653" s="23"/>
    </row>
    <row r="654" ht="15.75" customHeight="1">
      <c r="A654" s="23"/>
    </row>
    <row r="655" ht="15.75" customHeight="1">
      <c r="A655" s="23"/>
    </row>
    <row r="656" ht="15.75" customHeight="1">
      <c r="A656" s="23"/>
    </row>
    <row r="657" ht="15.75" customHeight="1">
      <c r="A657" s="23"/>
    </row>
    <row r="658" ht="15.75" customHeight="1">
      <c r="A658" s="23"/>
    </row>
    <row r="659" ht="15.75" customHeight="1">
      <c r="A659" s="23"/>
    </row>
    <row r="660" ht="15.75" customHeight="1">
      <c r="A660" s="23"/>
    </row>
    <row r="661" ht="15.75" customHeight="1">
      <c r="A661" s="23"/>
    </row>
    <row r="662" ht="15.75" customHeight="1">
      <c r="A662" s="23"/>
    </row>
    <row r="663" ht="15.75" customHeight="1">
      <c r="A663" s="23"/>
    </row>
    <row r="664" ht="15.75" customHeight="1">
      <c r="A664" s="23"/>
    </row>
    <row r="665" ht="15.75" customHeight="1">
      <c r="A665" s="23"/>
    </row>
    <row r="666" ht="15.75" customHeight="1">
      <c r="A666" s="23"/>
    </row>
    <row r="667" ht="15.75" customHeight="1">
      <c r="A667" s="23"/>
    </row>
    <row r="668" ht="15.75" customHeight="1">
      <c r="A668" s="23"/>
    </row>
    <row r="669" ht="15.75" customHeight="1">
      <c r="A669" s="23"/>
    </row>
    <row r="670" ht="15.75" customHeight="1">
      <c r="A670" s="23"/>
    </row>
    <row r="671" ht="15.75" customHeight="1">
      <c r="A671" s="23"/>
    </row>
    <row r="672" ht="15.75" customHeight="1">
      <c r="A672" s="23"/>
    </row>
    <row r="673" ht="15.75" customHeight="1">
      <c r="A673" s="23"/>
    </row>
    <row r="674" ht="15.75" customHeight="1">
      <c r="A674" s="23"/>
    </row>
    <row r="675" ht="15.75" customHeight="1">
      <c r="A675" s="23"/>
    </row>
    <row r="676" ht="15.75" customHeight="1">
      <c r="A676" s="23"/>
    </row>
    <row r="677" ht="15.75" customHeight="1">
      <c r="A677" s="23"/>
    </row>
    <row r="678" ht="15.75" customHeight="1">
      <c r="A678" s="23"/>
    </row>
    <row r="679" ht="15.75" customHeight="1">
      <c r="A679" s="23"/>
    </row>
    <row r="680" ht="15.75" customHeight="1">
      <c r="A680" s="23"/>
    </row>
    <row r="681" ht="15.75" customHeight="1">
      <c r="A681" s="23"/>
    </row>
    <row r="682" ht="15.75" customHeight="1">
      <c r="A682" s="23"/>
    </row>
    <row r="683" ht="15.75" customHeight="1">
      <c r="A683" s="23"/>
    </row>
    <row r="684" ht="15.75" customHeight="1">
      <c r="A684" s="23"/>
    </row>
    <row r="685" ht="15.75" customHeight="1">
      <c r="A685" s="23"/>
    </row>
    <row r="686" ht="15.75" customHeight="1">
      <c r="A686" s="23"/>
    </row>
    <row r="687" ht="15.75" customHeight="1">
      <c r="A687" s="23"/>
    </row>
    <row r="688" ht="15.75" customHeight="1">
      <c r="A688" s="23"/>
    </row>
    <row r="689" ht="15.75" customHeight="1">
      <c r="A689" s="23"/>
    </row>
    <row r="690" ht="15.75" customHeight="1">
      <c r="A690" s="23"/>
    </row>
    <row r="691" ht="15.75" customHeight="1">
      <c r="A691" s="23"/>
    </row>
    <row r="692" ht="15.75" customHeight="1">
      <c r="A692" s="23"/>
    </row>
    <row r="693" ht="15.75" customHeight="1">
      <c r="A693" s="23"/>
    </row>
    <row r="694" ht="15.75" customHeight="1">
      <c r="A694" s="23"/>
    </row>
    <row r="695" ht="15.75" customHeight="1">
      <c r="A695" s="23"/>
    </row>
    <row r="696" ht="15.75" customHeight="1">
      <c r="A696" s="23"/>
    </row>
    <row r="697" ht="15.75" customHeight="1">
      <c r="A697" s="23"/>
    </row>
    <row r="698" ht="15.75" customHeight="1">
      <c r="A698" s="23"/>
    </row>
    <row r="699" ht="15.75" customHeight="1">
      <c r="A699" s="23"/>
    </row>
    <row r="700" ht="15.75" customHeight="1">
      <c r="A700" s="23"/>
    </row>
    <row r="701" ht="15.75" customHeight="1">
      <c r="A701" s="23"/>
    </row>
    <row r="702" ht="15.75" customHeight="1">
      <c r="A702" s="23"/>
    </row>
    <row r="703" ht="15.75" customHeight="1">
      <c r="A703" s="23"/>
    </row>
    <row r="704" ht="15.75" customHeight="1">
      <c r="A704" s="23"/>
    </row>
    <row r="705" ht="15.75" customHeight="1">
      <c r="A705" s="23"/>
    </row>
    <row r="706" ht="15.75" customHeight="1">
      <c r="A706" s="23"/>
    </row>
    <row r="707" ht="15.75" customHeight="1">
      <c r="A707" s="23"/>
    </row>
    <row r="708" ht="15.75" customHeight="1">
      <c r="A708" s="23"/>
    </row>
    <row r="709" ht="15.75" customHeight="1">
      <c r="A709" s="23"/>
    </row>
    <row r="710" ht="15.75" customHeight="1">
      <c r="A710" s="23"/>
    </row>
    <row r="711" ht="15.75" customHeight="1">
      <c r="A711" s="23"/>
    </row>
    <row r="712" ht="15.75" customHeight="1">
      <c r="A712" s="23"/>
    </row>
    <row r="713" ht="15.75" customHeight="1">
      <c r="A713" s="23"/>
    </row>
    <row r="714" ht="15.75" customHeight="1">
      <c r="A714" s="23"/>
    </row>
    <row r="715" ht="15.75" customHeight="1">
      <c r="A715" s="23"/>
    </row>
    <row r="716" ht="15.75" customHeight="1">
      <c r="A716" s="23"/>
    </row>
    <row r="717" ht="15.75" customHeight="1">
      <c r="A717" s="23"/>
    </row>
    <row r="718" ht="15.75" customHeight="1">
      <c r="A718" s="23"/>
    </row>
    <row r="719" ht="15.75" customHeight="1">
      <c r="A719" s="23"/>
    </row>
    <row r="720" ht="15.75" customHeight="1">
      <c r="A720" s="23"/>
    </row>
    <row r="721" ht="15.75" customHeight="1">
      <c r="A721" s="23"/>
    </row>
    <row r="722" ht="15.75" customHeight="1">
      <c r="A722" s="23"/>
    </row>
    <row r="723" ht="15.75" customHeight="1">
      <c r="A723" s="23"/>
    </row>
    <row r="724" ht="15.75" customHeight="1">
      <c r="A724" s="23"/>
    </row>
    <row r="725" ht="15.75" customHeight="1">
      <c r="A725" s="23"/>
    </row>
    <row r="726" ht="15.75" customHeight="1">
      <c r="A726" s="23"/>
    </row>
    <row r="727" ht="15.75" customHeight="1">
      <c r="A727" s="23"/>
    </row>
    <row r="728" ht="15.75" customHeight="1">
      <c r="A728" s="23"/>
    </row>
    <row r="729" ht="15.75" customHeight="1">
      <c r="A729" s="23"/>
    </row>
    <row r="730" ht="15.75" customHeight="1">
      <c r="A730" s="23"/>
    </row>
    <row r="731" ht="15.75" customHeight="1">
      <c r="A731" s="23"/>
    </row>
    <row r="732" ht="15.75" customHeight="1">
      <c r="A732" s="23"/>
    </row>
    <row r="733" ht="15.75" customHeight="1">
      <c r="A733" s="23"/>
    </row>
    <row r="734" ht="15.75" customHeight="1">
      <c r="A734" s="23"/>
    </row>
    <row r="735" ht="15.75" customHeight="1">
      <c r="A735" s="23"/>
    </row>
    <row r="736" ht="15.75" customHeight="1">
      <c r="A736" s="23"/>
    </row>
    <row r="737" ht="15.75" customHeight="1">
      <c r="A737" s="23"/>
    </row>
    <row r="738" ht="15.75" customHeight="1">
      <c r="A738" s="23"/>
    </row>
    <row r="739" ht="15.75" customHeight="1">
      <c r="A739" s="23"/>
    </row>
    <row r="740" ht="15.75" customHeight="1">
      <c r="A740" s="23"/>
    </row>
    <row r="741" ht="15.75" customHeight="1">
      <c r="A741" s="23"/>
    </row>
    <row r="742" ht="15.75" customHeight="1">
      <c r="A742" s="23"/>
    </row>
    <row r="743" ht="15.75" customHeight="1">
      <c r="A743" s="23"/>
    </row>
    <row r="744" ht="15.75" customHeight="1">
      <c r="A744" s="23"/>
    </row>
    <row r="745" ht="15.75" customHeight="1">
      <c r="A745" s="23"/>
    </row>
    <row r="746" ht="15.75" customHeight="1">
      <c r="A746" s="23"/>
    </row>
    <row r="747" ht="15.75" customHeight="1">
      <c r="A747" s="23"/>
    </row>
    <row r="748" ht="15.75" customHeight="1">
      <c r="A748" s="23"/>
    </row>
    <row r="749" ht="15.75" customHeight="1">
      <c r="A749" s="23"/>
    </row>
    <row r="750" ht="15.75" customHeight="1">
      <c r="A750" s="23"/>
    </row>
    <row r="751" ht="15.75" customHeight="1">
      <c r="A751" s="23"/>
    </row>
    <row r="752" ht="15.75" customHeight="1">
      <c r="A752" s="23"/>
    </row>
    <row r="753" ht="15.75" customHeight="1">
      <c r="A753" s="23"/>
    </row>
    <row r="754" ht="15.75" customHeight="1">
      <c r="A754" s="23"/>
    </row>
    <row r="755" ht="15.75" customHeight="1">
      <c r="A755" s="23"/>
    </row>
    <row r="756" ht="15.75" customHeight="1">
      <c r="A756" s="23"/>
    </row>
    <row r="757" ht="15.75" customHeight="1">
      <c r="A757" s="23"/>
    </row>
    <row r="758" ht="15.75" customHeight="1">
      <c r="A758" s="23"/>
    </row>
    <row r="759" ht="15.75" customHeight="1">
      <c r="A759" s="23"/>
    </row>
    <row r="760" ht="15.75" customHeight="1">
      <c r="A760" s="23"/>
    </row>
    <row r="761" ht="15.75" customHeight="1">
      <c r="A761" s="23"/>
    </row>
    <row r="762" ht="15.75" customHeight="1">
      <c r="A762" s="23"/>
    </row>
    <row r="763" ht="15.75" customHeight="1">
      <c r="A763" s="23"/>
    </row>
    <row r="764" ht="15.75" customHeight="1">
      <c r="A764" s="23"/>
    </row>
    <row r="765" ht="15.75" customHeight="1">
      <c r="A765" s="23"/>
    </row>
    <row r="766" ht="15.75" customHeight="1">
      <c r="A766" s="23"/>
    </row>
    <row r="767" ht="15.75" customHeight="1">
      <c r="A767" s="23"/>
    </row>
    <row r="768" ht="15.75" customHeight="1">
      <c r="A768" s="23"/>
    </row>
    <row r="769" ht="15.75" customHeight="1">
      <c r="A769" s="23"/>
    </row>
    <row r="770" ht="15.75" customHeight="1">
      <c r="A770" s="23"/>
    </row>
    <row r="771" ht="15.75" customHeight="1">
      <c r="A771" s="23"/>
    </row>
    <row r="772" ht="15.75" customHeight="1">
      <c r="A772" s="23"/>
    </row>
    <row r="773" ht="15.75" customHeight="1">
      <c r="A773" s="23"/>
    </row>
    <row r="774" ht="15.75" customHeight="1">
      <c r="A774" s="23"/>
    </row>
    <row r="775" ht="15.75" customHeight="1">
      <c r="A775" s="23"/>
    </row>
    <row r="776" ht="15.75" customHeight="1">
      <c r="A776" s="23"/>
    </row>
    <row r="777" ht="15.75" customHeight="1">
      <c r="A777" s="23"/>
    </row>
    <row r="778" ht="15.75" customHeight="1">
      <c r="A778" s="23"/>
    </row>
    <row r="779" ht="15.75" customHeight="1">
      <c r="A779" s="23"/>
    </row>
    <row r="780" ht="15.75" customHeight="1">
      <c r="A780" s="23"/>
    </row>
    <row r="781" ht="15.75" customHeight="1">
      <c r="A781" s="23"/>
    </row>
    <row r="782" ht="15.75" customHeight="1">
      <c r="A782" s="23"/>
    </row>
    <row r="783" ht="15.75" customHeight="1">
      <c r="A783" s="23"/>
    </row>
    <row r="784" ht="15.75" customHeight="1">
      <c r="A784" s="23"/>
    </row>
    <row r="785" ht="15.75" customHeight="1">
      <c r="A785" s="23"/>
    </row>
    <row r="786" ht="15.75" customHeight="1">
      <c r="A786" s="23"/>
    </row>
    <row r="787" ht="15.75" customHeight="1">
      <c r="A787" s="23"/>
    </row>
    <row r="788" ht="15.75" customHeight="1">
      <c r="A788" s="23"/>
    </row>
    <row r="789" ht="15.75" customHeight="1">
      <c r="A789" s="23"/>
    </row>
    <row r="790" ht="15.75" customHeight="1">
      <c r="A790" s="23"/>
    </row>
    <row r="791" ht="15.75" customHeight="1">
      <c r="A791" s="23"/>
    </row>
    <row r="792" ht="15.75" customHeight="1">
      <c r="A792" s="23"/>
    </row>
    <row r="793" ht="15.75" customHeight="1">
      <c r="A793" s="23"/>
    </row>
    <row r="794" ht="15.75" customHeight="1">
      <c r="A794" s="23"/>
    </row>
    <row r="795" ht="15.75" customHeight="1">
      <c r="A795" s="23"/>
    </row>
    <row r="796" ht="15.75" customHeight="1">
      <c r="A796" s="23"/>
    </row>
    <row r="797" ht="15.75" customHeight="1">
      <c r="A797" s="23"/>
    </row>
    <row r="798" ht="15.75" customHeight="1">
      <c r="A798" s="23"/>
    </row>
    <row r="799" ht="15.75" customHeight="1">
      <c r="A799" s="23"/>
    </row>
    <row r="800" ht="15.75" customHeight="1">
      <c r="A800" s="23"/>
    </row>
    <row r="801" ht="15.75" customHeight="1">
      <c r="A801" s="23"/>
    </row>
    <row r="802" ht="15.75" customHeight="1">
      <c r="A802" s="23"/>
    </row>
    <row r="803" ht="15.75" customHeight="1">
      <c r="A803" s="23"/>
    </row>
    <row r="804" ht="15.75" customHeight="1">
      <c r="A804" s="23"/>
    </row>
    <row r="805" ht="15.75" customHeight="1">
      <c r="A805" s="23"/>
    </row>
    <row r="806" ht="15.75" customHeight="1">
      <c r="A806" s="23"/>
    </row>
    <row r="807" ht="15.75" customHeight="1">
      <c r="A807" s="23"/>
    </row>
    <row r="808" ht="15.75" customHeight="1">
      <c r="A808" s="23"/>
    </row>
    <row r="809" ht="15.75" customHeight="1">
      <c r="A809" s="23"/>
    </row>
    <row r="810" ht="15.75" customHeight="1">
      <c r="A810" s="23"/>
    </row>
    <row r="811" ht="15.75" customHeight="1">
      <c r="A811" s="23"/>
    </row>
    <row r="812" ht="15.75" customHeight="1">
      <c r="A812" s="23"/>
    </row>
    <row r="813" ht="15.75" customHeight="1">
      <c r="A813" s="23"/>
    </row>
    <row r="814" ht="15.75" customHeight="1">
      <c r="A814" s="23"/>
    </row>
    <row r="815" ht="15.75" customHeight="1">
      <c r="A815" s="23"/>
    </row>
    <row r="816" ht="15.75" customHeight="1">
      <c r="A816" s="23"/>
    </row>
    <row r="817" ht="15.75" customHeight="1">
      <c r="A817" s="23"/>
    </row>
    <row r="818" ht="15.75" customHeight="1">
      <c r="A818" s="23"/>
    </row>
    <row r="819" ht="15.75" customHeight="1">
      <c r="A819" s="23"/>
    </row>
    <row r="820" ht="15.75" customHeight="1">
      <c r="A820" s="23"/>
    </row>
    <row r="821" ht="15.75" customHeight="1">
      <c r="A821" s="23"/>
    </row>
    <row r="822" ht="15.75" customHeight="1">
      <c r="A822" s="23"/>
    </row>
    <row r="823" ht="15.75" customHeight="1">
      <c r="A823" s="23"/>
    </row>
    <row r="824" ht="15.75" customHeight="1">
      <c r="A824" s="23"/>
    </row>
    <row r="825" ht="15.75" customHeight="1">
      <c r="A825" s="23"/>
    </row>
    <row r="826" ht="15.75" customHeight="1">
      <c r="A826" s="23"/>
    </row>
    <row r="827" ht="15.75" customHeight="1">
      <c r="A827" s="23"/>
    </row>
    <row r="828" ht="15.75" customHeight="1">
      <c r="A828" s="23"/>
    </row>
    <row r="829" ht="15.75" customHeight="1">
      <c r="A829" s="23"/>
    </row>
    <row r="830" ht="15.75" customHeight="1">
      <c r="A830" s="23"/>
    </row>
    <row r="831" ht="15.75" customHeight="1">
      <c r="A831" s="23"/>
    </row>
    <row r="832" ht="15.75" customHeight="1">
      <c r="A832" s="23"/>
    </row>
    <row r="833" ht="15.75" customHeight="1">
      <c r="A833" s="23"/>
    </row>
    <row r="834" ht="15.75" customHeight="1">
      <c r="A834" s="23"/>
    </row>
    <row r="835" ht="15.75" customHeight="1">
      <c r="A835" s="23"/>
    </row>
    <row r="836" ht="15.75" customHeight="1">
      <c r="A836" s="23"/>
    </row>
    <row r="837" ht="15.75" customHeight="1">
      <c r="A837" s="23"/>
    </row>
    <row r="838" ht="15.75" customHeight="1">
      <c r="A838" s="23"/>
    </row>
    <row r="839" ht="15.75" customHeight="1">
      <c r="A839" s="23"/>
    </row>
    <row r="840" ht="15.75" customHeight="1">
      <c r="A840" s="23"/>
    </row>
    <row r="841" ht="15.75" customHeight="1">
      <c r="A841" s="23"/>
    </row>
    <row r="842" ht="15.75" customHeight="1">
      <c r="A842" s="23"/>
    </row>
    <row r="843" ht="15.75" customHeight="1">
      <c r="A843" s="23"/>
    </row>
    <row r="844" ht="15.75" customHeight="1">
      <c r="A844" s="23"/>
    </row>
    <row r="845" ht="15.75" customHeight="1">
      <c r="A845" s="23"/>
    </row>
    <row r="846" ht="15.75" customHeight="1">
      <c r="A846" s="23"/>
    </row>
    <row r="847" ht="15.75" customHeight="1">
      <c r="A847" s="23"/>
    </row>
    <row r="848" ht="15.75" customHeight="1">
      <c r="A848" s="23"/>
    </row>
    <row r="849" ht="15.75" customHeight="1">
      <c r="A849" s="23"/>
    </row>
    <row r="850" ht="15.75" customHeight="1">
      <c r="A850" s="23"/>
    </row>
    <row r="851" ht="15.75" customHeight="1">
      <c r="A851" s="23"/>
    </row>
    <row r="852" ht="15.75" customHeight="1">
      <c r="A852" s="23"/>
    </row>
    <row r="853" ht="15.75" customHeight="1">
      <c r="A853" s="23"/>
    </row>
    <row r="854" ht="15.75" customHeight="1">
      <c r="A854" s="23"/>
    </row>
    <row r="855" ht="15.75" customHeight="1">
      <c r="A855" s="23"/>
    </row>
    <row r="856" ht="15.75" customHeight="1">
      <c r="A856" s="23"/>
    </row>
    <row r="857" ht="15.75" customHeight="1">
      <c r="A857" s="23"/>
    </row>
    <row r="858" ht="15.75" customHeight="1">
      <c r="A858" s="23"/>
    </row>
    <row r="859" ht="15.75" customHeight="1">
      <c r="A859" s="23"/>
    </row>
    <row r="860" ht="15.75" customHeight="1">
      <c r="A860" s="23"/>
    </row>
    <row r="861" ht="15.75" customHeight="1">
      <c r="A861" s="23"/>
    </row>
    <row r="862" ht="15.75" customHeight="1">
      <c r="A862" s="23"/>
    </row>
    <row r="863" ht="15.75" customHeight="1">
      <c r="A863" s="23"/>
    </row>
    <row r="864" ht="15.75" customHeight="1">
      <c r="A864" s="23"/>
    </row>
    <row r="865" ht="15.75" customHeight="1">
      <c r="A865" s="23"/>
    </row>
    <row r="866" ht="15.75" customHeight="1">
      <c r="A866" s="23"/>
    </row>
    <row r="867" ht="15.75" customHeight="1">
      <c r="A867" s="23"/>
    </row>
    <row r="868" ht="15.75" customHeight="1">
      <c r="A868" s="23"/>
    </row>
    <row r="869" ht="15.75" customHeight="1">
      <c r="A869" s="23"/>
    </row>
    <row r="870" ht="15.75" customHeight="1">
      <c r="A870" s="23"/>
    </row>
    <row r="871" ht="15.75" customHeight="1">
      <c r="A871" s="23"/>
    </row>
    <row r="872" ht="15.75" customHeight="1">
      <c r="A872" s="23"/>
    </row>
    <row r="873" ht="15.75" customHeight="1">
      <c r="A873" s="23"/>
    </row>
    <row r="874" ht="15.75" customHeight="1">
      <c r="A874" s="23"/>
    </row>
    <row r="875" ht="15.75" customHeight="1">
      <c r="A875" s="23"/>
    </row>
    <row r="876" ht="15.75" customHeight="1">
      <c r="A876" s="23"/>
    </row>
    <row r="877" ht="15.75" customHeight="1">
      <c r="A877" s="23"/>
    </row>
    <row r="878" ht="15.75" customHeight="1">
      <c r="A878" s="23"/>
    </row>
    <row r="879" ht="15.75" customHeight="1">
      <c r="A879" s="23"/>
    </row>
    <row r="880" ht="15.75" customHeight="1">
      <c r="A880" s="23"/>
    </row>
    <row r="881" ht="15.75" customHeight="1">
      <c r="A881" s="23"/>
    </row>
    <row r="882" ht="15.75" customHeight="1">
      <c r="A882" s="23"/>
    </row>
    <row r="883" ht="15.75" customHeight="1">
      <c r="A883" s="23"/>
    </row>
    <row r="884" ht="15.75" customHeight="1">
      <c r="A884" s="23"/>
    </row>
    <row r="885" ht="15.75" customHeight="1">
      <c r="A885" s="23"/>
    </row>
    <row r="886" ht="15.75" customHeight="1">
      <c r="A886" s="23"/>
    </row>
    <row r="887" ht="15.75" customHeight="1">
      <c r="A887" s="23"/>
    </row>
    <row r="888" ht="15.75" customHeight="1">
      <c r="A888" s="23"/>
    </row>
    <row r="889" ht="15.75" customHeight="1">
      <c r="A889" s="23"/>
    </row>
    <row r="890" ht="15.75" customHeight="1">
      <c r="A890" s="23"/>
    </row>
    <row r="891" ht="15.75" customHeight="1">
      <c r="A891" s="23"/>
    </row>
    <row r="892" ht="15.75" customHeight="1">
      <c r="A892" s="23"/>
    </row>
    <row r="893" ht="15.75" customHeight="1">
      <c r="A893" s="23"/>
    </row>
    <row r="894" ht="15.75" customHeight="1">
      <c r="A894" s="23"/>
    </row>
    <row r="895" ht="15.75" customHeight="1">
      <c r="A895" s="23"/>
    </row>
    <row r="896" ht="15.75" customHeight="1">
      <c r="A896" s="23"/>
    </row>
    <row r="897" ht="15.75" customHeight="1">
      <c r="A897" s="23"/>
    </row>
    <row r="898" ht="15.75" customHeight="1">
      <c r="A898" s="23"/>
    </row>
    <row r="899" ht="15.75" customHeight="1">
      <c r="A899" s="23"/>
    </row>
    <row r="900" ht="15.75" customHeight="1">
      <c r="A900" s="23"/>
    </row>
    <row r="901" ht="15.75" customHeight="1">
      <c r="A901" s="23"/>
    </row>
    <row r="902" ht="15.75" customHeight="1">
      <c r="A902" s="23"/>
    </row>
    <row r="903" ht="15.75" customHeight="1">
      <c r="A903" s="23"/>
    </row>
    <row r="904" ht="15.75" customHeight="1">
      <c r="A904" s="23"/>
    </row>
    <row r="905" ht="15.75" customHeight="1">
      <c r="A905" s="23"/>
    </row>
    <row r="906" ht="15.75" customHeight="1">
      <c r="A906" s="23"/>
    </row>
    <row r="907" ht="15.75" customHeight="1">
      <c r="A907" s="23"/>
    </row>
    <row r="908" ht="15.75" customHeight="1">
      <c r="A908" s="23"/>
    </row>
    <row r="909" ht="15.75" customHeight="1">
      <c r="A909" s="23"/>
    </row>
    <row r="910" ht="15.75" customHeight="1">
      <c r="A910" s="23"/>
    </row>
    <row r="911" ht="15.75" customHeight="1">
      <c r="A911" s="23"/>
    </row>
    <row r="912" ht="15.75" customHeight="1">
      <c r="A912" s="23"/>
    </row>
    <row r="913" ht="15.75" customHeight="1">
      <c r="A913" s="23"/>
    </row>
    <row r="914" ht="15.75" customHeight="1">
      <c r="A914" s="23"/>
    </row>
    <row r="915" ht="15.75" customHeight="1">
      <c r="A915" s="23"/>
    </row>
    <row r="916" ht="15.75" customHeight="1">
      <c r="A916" s="23"/>
    </row>
    <row r="917" ht="15.75" customHeight="1">
      <c r="A917" s="23"/>
    </row>
    <row r="918" ht="15.75" customHeight="1">
      <c r="A918" s="23"/>
    </row>
    <row r="919" ht="15.75" customHeight="1">
      <c r="A919" s="23"/>
    </row>
    <row r="920" ht="15.75" customHeight="1">
      <c r="A920" s="23"/>
    </row>
    <row r="921" ht="15.75" customHeight="1">
      <c r="A921" s="23"/>
    </row>
    <row r="922" ht="15.75" customHeight="1">
      <c r="A922" s="23"/>
    </row>
    <row r="923" ht="15.75" customHeight="1">
      <c r="A923" s="23"/>
    </row>
    <row r="924" ht="15.75" customHeight="1">
      <c r="A924" s="23"/>
    </row>
    <row r="925" ht="15.75" customHeight="1">
      <c r="A925" s="23"/>
    </row>
    <row r="926" ht="15.75" customHeight="1">
      <c r="A926" s="23"/>
    </row>
    <row r="927" ht="15.75" customHeight="1">
      <c r="A927" s="23"/>
    </row>
    <row r="928" ht="15.75" customHeight="1">
      <c r="A928" s="23"/>
    </row>
    <row r="929" ht="15.75" customHeight="1">
      <c r="A929" s="23"/>
    </row>
    <row r="930" ht="15.75" customHeight="1">
      <c r="A930" s="23"/>
    </row>
    <row r="931" ht="15.75" customHeight="1">
      <c r="A931" s="23"/>
    </row>
    <row r="932" ht="15.75" customHeight="1">
      <c r="A932" s="23"/>
    </row>
    <row r="933" ht="15.75" customHeight="1">
      <c r="A933" s="23"/>
    </row>
    <row r="934" ht="15.75" customHeight="1">
      <c r="A934" s="23"/>
    </row>
    <row r="935" ht="15.75" customHeight="1">
      <c r="A935" s="23"/>
    </row>
    <row r="936" ht="15.75" customHeight="1">
      <c r="A936" s="23"/>
    </row>
    <row r="937" ht="15.75" customHeight="1">
      <c r="A937" s="23"/>
    </row>
    <row r="938" ht="15.75" customHeight="1">
      <c r="A938" s="23"/>
    </row>
    <row r="939" ht="15.75" customHeight="1">
      <c r="A939" s="23"/>
    </row>
    <row r="940" ht="15.75" customHeight="1">
      <c r="A940" s="23"/>
    </row>
    <row r="941" ht="15.75" customHeight="1">
      <c r="A941" s="23"/>
    </row>
    <row r="942" ht="15.75" customHeight="1">
      <c r="A942" s="23"/>
    </row>
    <row r="943" ht="15.75" customHeight="1">
      <c r="A943" s="23"/>
    </row>
    <row r="944" ht="15.75" customHeight="1">
      <c r="A944" s="23"/>
    </row>
    <row r="945" ht="15.75" customHeight="1">
      <c r="A945" s="23"/>
    </row>
    <row r="946" ht="15.75" customHeight="1">
      <c r="A946" s="23"/>
    </row>
    <row r="947" ht="15.75" customHeight="1">
      <c r="A947" s="23"/>
    </row>
    <row r="948" ht="15.75" customHeight="1">
      <c r="A948" s="23"/>
    </row>
    <row r="949" ht="15.75" customHeight="1">
      <c r="A949" s="23"/>
    </row>
    <row r="950" ht="15.75" customHeight="1">
      <c r="A950" s="23"/>
    </row>
    <row r="951" ht="15.75" customHeight="1">
      <c r="A951" s="23"/>
    </row>
    <row r="952" ht="15.75" customHeight="1">
      <c r="A952" s="23"/>
    </row>
    <row r="953" ht="15.75" customHeight="1">
      <c r="A953" s="23"/>
    </row>
    <row r="954" ht="15.75" customHeight="1">
      <c r="A954" s="23"/>
    </row>
    <row r="955" ht="15.75" customHeight="1">
      <c r="A955" s="23"/>
    </row>
    <row r="956" ht="15.75" customHeight="1">
      <c r="A956" s="23"/>
    </row>
    <row r="957" ht="15.75" customHeight="1">
      <c r="A957" s="23"/>
    </row>
    <row r="958" ht="15.75" customHeight="1">
      <c r="A958" s="23"/>
    </row>
    <row r="959" ht="15.75" customHeight="1">
      <c r="A959" s="23"/>
    </row>
    <row r="960" ht="15.75" customHeight="1">
      <c r="A960" s="23"/>
    </row>
    <row r="961" ht="15.75" customHeight="1">
      <c r="A961" s="23"/>
    </row>
    <row r="962" ht="15.75" customHeight="1">
      <c r="A962" s="23"/>
    </row>
    <row r="963" ht="15.75" customHeight="1">
      <c r="A963" s="23"/>
    </row>
    <row r="964" ht="15.75" customHeight="1">
      <c r="A964" s="23"/>
    </row>
    <row r="965" ht="15.75" customHeight="1">
      <c r="A965" s="23"/>
    </row>
    <row r="966" ht="15.75" customHeight="1">
      <c r="A966" s="23"/>
    </row>
    <row r="967" ht="15.75" customHeight="1">
      <c r="A967" s="23"/>
    </row>
    <row r="968" ht="15.75" customHeight="1">
      <c r="A968" s="23"/>
    </row>
    <row r="969" ht="15.75" customHeight="1">
      <c r="A969" s="23"/>
    </row>
    <row r="970" ht="15.75" customHeight="1">
      <c r="A970" s="23"/>
    </row>
    <row r="971" ht="15.75" customHeight="1">
      <c r="A971" s="23"/>
    </row>
    <row r="972" ht="15.75" customHeight="1">
      <c r="A972" s="23"/>
    </row>
    <row r="973" ht="15.75" customHeight="1">
      <c r="A973" s="23"/>
    </row>
    <row r="974" ht="15.75" customHeight="1">
      <c r="A974" s="23"/>
    </row>
    <row r="975" ht="15.75" customHeight="1">
      <c r="A975" s="23"/>
    </row>
    <row r="976" ht="15.75" customHeight="1">
      <c r="A976" s="23"/>
    </row>
    <row r="977" ht="15.75" customHeight="1">
      <c r="A977" s="23"/>
    </row>
    <row r="978" ht="15.75" customHeight="1">
      <c r="A978" s="23"/>
    </row>
    <row r="979" ht="15.75" customHeight="1">
      <c r="A979" s="23"/>
    </row>
    <row r="980" ht="15.75" customHeight="1">
      <c r="A980" s="23"/>
    </row>
    <row r="981" ht="15.75" customHeight="1">
      <c r="A981" s="23"/>
    </row>
    <row r="982" ht="15.75" customHeight="1">
      <c r="A982" s="23"/>
    </row>
    <row r="983" ht="15.75" customHeight="1">
      <c r="A983" s="23"/>
    </row>
    <row r="984" ht="15.75" customHeight="1">
      <c r="A984" s="23"/>
    </row>
    <row r="985" ht="15.75" customHeight="1">
      <c r="A985" s="23"/>
    </row>
    <row r="986" ht="15.75" customHeight="1">
      <c r="A986" s="23"/>
    </row>
    <row r="987" ht="15.75" customHeight="1">
      <c r="A987" s="23"/>
    </row>
    <row r="988" ht="15.75" customHeight="1">
      <c r="A988" s="23"/>
    </row>
    <row r="989" ht="15.75" customHeight="1">
      <c r="A989" s="23"/>
    </row>
    <row r="990" ht="15.75" customHeight="1">
      <c r="A990" s="23"/>
    </row>
    <row r="991" ht="15.75" customHeight="1">
      <c r="A991" s="23"/>
    </row>
    <row r="992" ht="15.75" customHeight="1">
      <c r="A992" s="23"/>
    </row>
    <row r="993" ht="15.75" customHeight="1">
      <c r="A993" s="23"/>
    </row>
    <row r="994" ht="15.75" customHeight="1">
      <c r="A994" s="23"/>
    </row>
    <row r="995" ht="15.75" customHeight="1">
      <c r="A995" s="23"/>
    </row>
    <row r="996" ht="15.75" customHeight="1">
      <c r="A996" s="23"/>
    </row>
    <row r="997" ht="15.75" customHeight="1">
      <c r="A997" s="23"/>
    </row>
    <row r="998" ht="15.75" customHeight="1">
      <c r="A998" s="23"/>
    </row>
    <row r="999" ht="15.75" customHeight="1">
      <c r="A999" s="23"/>
    </row>
    <row r="1000" ht="15.75" customHeight="1">
      <c r="A1000" s="23"/>
    </row>
    <row r="1001" ht="15.75" customHeight="1">
      <c r="A1001" s="23"/>
    </row>
    <row r="1002" ht="15.75" customHeight="1">
      <c r="A1002" s="23"/>
    </row>
    <row r="1003" ht="15.75" customHeight="1">
      <c r="A1003" s="23"/>
    </row>
    <row r="1004" ht="15.75" customHeight="1">
      <c r="A1004" s="23"/>
    </row>
  </sheetData>
  <mergeCells count="1">
    <mergeCell ref="K1:Q1"/>
  </mergeCells>
  <drawing r:id="rId4"/>
  <legacyDrawing r:id="rId5"/>
</worksheet>
</file>